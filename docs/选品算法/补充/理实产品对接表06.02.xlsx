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JPG" ContentType="image/.jpg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英国" sheetId="1" r:id="rId1"/>
    <sheet name="德国" sheetId="2" r:id="rId2"/>
    <sheet name="WpsReserved_CellImgList" sheetId="3" state="veryHidden" r:id="rId3"/>
  </sheets>
  <definedNames>
    <definedName name="_xlnm._FilterDatabase" localSheetId="0" hidden="1">英国!$A$3:$AZ$133</definedName>
    <definedName name="_xlnm._FilterDatabase" localSheetId="1" hidden="1">德国!$A$3:$AX$52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574" name="ID_CFAA2D342E3B4A8AA0E2EBA7920D8753" descr="upload_post_object_v2_3462953792"/>
        <xdr:cNvPicPr/>
      </xdr:nvPicPr>
      <xdr:blipFill>
        <a:blip r:embed="rId1"/>
        <a:stretch>
          <a:fillRect/>
        </a:stretch>
      </xdr:blipFill>
      <xdr:spPr>
        <a:xfrm>
          <a:off x="0" y="0"/>
          <a:ext cx="8591550" cy="3676650"/>
        </a:xfrm>
        <a:prstGeom prst="rect">
          <a:avLst/>
        </a:prstGeom>
      </xdr:spPr>
    </xdr:pic>
  </etc:cellImage>
  <etc:cellImage>
    <xdr:pic>
      <xdr:nvPicPr>
        <xdr:cNvPr id="87" name="ID_B931C45A59B94762B0C519FBACAE8037" descr="upload_post_object_v2_1393997604"/>
        <xdr:cNvPicPr/>
      </xdr:nvPicPr>
      <xdr:blipFill>
        <a:blip r:embed="rId2"/>
        <a:stretch>
          <a:fillRect/>
        </a:stretch>
      </xdr:blipFill>
      <xdr:spPr>
        <a:xfrm>
          <a:off x="0" y="0"/>
          <a:ext cx="752475" cy="238125"/>
        </a:xfrm>
        <a:prstGeom prst="rect">
          <a:avLst/>
        </a:prstGeom>
      </xdr:spPr>
    </xdr:pic>
  </etc:cellImage>
  <etc:cellImage>
    <xdr:pic>
      <xdr:nvPicPr>
        <xdr:cNvPr id="100" name="ID_9A4A7EBBE74E4D27A70B793C7753CEA7" descr="upload_post_object_v2_1066119304"/>
        <xdr:cNvPicPr/>
      </xdr:nvPicPr>
      <xdr:blipFill>
        <a:blip r:embed="rId3"/>
        <a:stretch>
          <a:fillRect/>
        </a:stretch>
      </xdr:blipFill>
      <xdr:spPr>
        <a:xfrm>
          <a:off x="0" y="0"/>
          <a:ext cx="9144000" cy="9144000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<sst xmlns="http://schemas.openxmlformats.org/spreadsheetml/2006/main" count="2318" uniqueCount="1104">
  <si>
    <t>理实英国产品对接表-06.02</t>
  </si>
  <si>
    <t>序号</t>
  </si>
  <si>
    <t>时间</t>
  </si>
  <si>
    <t>产品名称</t>
  </si>
  <si>
    <t>SKU</t>
  </si>
  <si>
    <t>开发</t>
  </si>
  <si>
    <t>运营</t>
  </si>
  <si>
    <t>市场价格段</t>
  </si>
  <si>
    <t>开品理由</t>
  </si>
  <si>
    <t>开发备注</t>
  </si>
  <si>
    <t>竞品链接</t>
  </si>
  <si>
    <t>售价</t>
  </si>
  <si>
    <t>空运利润</t>
  </si>
  <si>
    <t>海运利润</t>
  </si>
  <si>
    <t>站点</t>
  </si>
  <si>
    <t>汇率</t>
  </si>
  <si>
    <r>
      <rPr>
        <b/>
        <sz val="11"/>
        <rFont val="Calibri"/>
        <charset val="134"/>
      </rPr>
      <t xml:space="preserve">VAT
</t>
    </r>
    <r>
      <rPr>
        <b/>
        <sz val="11"/>
        <rFont val="宋体"/>
        <charset val="134"/>
      </rPr>
      <t>税率</t>
    </r>
  </si>
  <si>
    <t>佣金比例</t>
  </si>
  <si>
    <r>
      <rPr>
        <b/>
        <sz val="11"/>
        <rFont val="宋体"/>
        <charset val="134"/>
      </rPr>
      <t>长</t>
    </r>
    <r>
      <rPr>
        <b/>
        <sz val="11"/>
        <rFont val="Calibri"/>
        <charset val="134"/>
      </rPr>
      <t>cm</t>
    </r>
  </si>
  <si>
    <r>
      <rPr>
        <b/>
        <sz val="11"/>
        <rFont val="宋体"/>
        <charset val="134"/>
      </rPr>
      <t>宽</t>
    </r>
    <r>
      <rPr>
        <b/>
        <sz val="11"/>
        <rFont val="Calibri"/>
        <charset val="134"/>
      </rPr>
      <t>cm</t>
    </r>
  </si>
  <si>
    <r>
      <rPr>
        <b/>
        <sz val="11"/>
        <rFont val="宋体"/>
        <charset val="134"/>
      </rPr>
      <t>高</t>
    </r>
    <r>
      <rPr>
        <b/>
        <sz val="11"/>
        <rFont val="Calibri"/>
        <charset val="134"/>
      </rPr>
      <t>cm</t>
    </r>
  </si>
  <si>
    <r>
      <rPr>
        <b/>
        <sz val="11"/>
        <rFont val="Calibri"/>
        <charset val="134"/>
      </rPr>
      <t>/6000</t>
    </r>
    <r>
      <rPr>
        <b/>
        <sz val="11"/>
        <rFont val="宋体"/>
        <charset val="134"/>
      </rPr>
      <t>体积重</t>
    </r>
    <r>
      <rPr>
        <b/>
        <sz val="11"/>
        <rFont val="Calibri"/>
        <charset val="134"/>
      </rPr>
      <t>(kg</t>
    </r>
    <r>
      <rPr>
        <b/>
        <sz val="11"/>
        <rFont val="宋体"/>
        <charset val="134"/>
      </rPr>
      <t>）</t>
    </r>
  </si>
  <si>
    <r>
      <rPr>
        <b/>
        <sz val="11"/>
        <rFont val="宋体"/>
        <charset val="134"/>
      </rPr>
      <t>毛重（</t>
    </r>
    <r>
      <rPr>
        <b/>
        <sz val="11"/>
        <rFont val="Calibri"/>
        <charset val="134"/>
      </rPr>
      <t>kg</t>
    </r>
    <r>
      <rPr>
        <b/>
        <sz val="11"/>
        <rFont val="宋体"/>
        <charset val="134"/>
      </rPr>
      <t>）</t>
    </r>
  </si>
  <si>
    <r>
      <rPr>
        <b/>
        <sz val="11"/>
        <rFont val="宋体"/>
        <charset val="134"/>
      </rPr>
      <t>空运头程</t>
    </r>
    <r>
      <rPr>
        <b/>
        <sz val="11"/>
        <rFont val="Calibri"/>
        <charset val="134"/>
      </rPr>
      <t xml:space="preserve">
</t>
    </r>
    <r>
      <rPr>
        <b/>
        <sz val="11"/>
        <rFont val="宋体"/>
        <charset val="134"/>
      </rPr>
      <t>报价</t>
    </r>
  </si>
  <si>
    <r>
      <rPr>
        <b/>
        <sz val="11"/>
        <rFont val="宋体"/>
        <charset val="134"/>
      </rPr>
      <t>海运头程</t>
    </r>
    <r>
      <rPr>
        <b/>
        <sz val="11"/>
        <rFont val="Calibri"/>
        <charset val="134"/>
      </rPr>
      <t xml:space="preserve">
</t>
    </r>
    <r>
      <rPr>
        <b/>
        <sz val="11"/>
        <rFont val="宋体"/>
        <charset val="134"/>
      </rPr>
      <t>报价</t>
    </r>
  </si>
  <si>
    <t>采购费用</t>
  </si>
  <si>
    <t>空运物流费用</t>
  </si>
  <si>
    <t>海运物流费用</t>
  </si>
  <si>
    <t>平台费用</t>
  </si>
  <si>
    <r>
      <rPr>
        <b/>
        <sz val="11"/>
        <rFont val="Calibri"/>
        <charset val="134"/>
      </rPr>
      <t>VAT</t>
    </r>
    <r>
      <rPr>
        <b/>
        <sz val="11"/>
        <rFont val="宋体"/>
        <charset val="134"/>
      </rPr>
      <t>税费</t>
    </r>
    <r>
      <rPr>
        <b/>
        <sz val="11"/>
        <rFont val="Calibri"/>
        <charset val="134"/>
      </rPr>
      <t xml:space="preserve">
$</t>
    </r>
  </si>
  <si>
    <t>推广费用</t>
  </si>
  <si>
    <r>
      <rPr>
        <b/>
        <sz val="11"/>
        <rFont val="宋体"/>
        <charset val="134"/>
      </rPr>
      <t>退款费</t>
    </r>
    <r>
      <rPr>
        <b/>
        <sz val="11"/>
        <rFont val="Calibri"/>
        <charset val="134"/>
      </rPr>
      <t xml:space="preserve">
$</t>
    </r>
  </si>
  <si>
    <t>供应商链接</t>
  </si>
  <si>
    <t>供应商</t>
  </si>
  <si>
    <t>英国海关编码</t>
  </si>
  <si>
    <t>材质</t>
  </si>
  <si>
    <t>中文报关名</t>
  </si>
  <si>
    <t>英文报关名</t>
  </si>
  <si>
    <t>产品尺寸</t>
  </si>
  <si>
    <t>新品链接1</t>
  </si>
  <si>
    <t>新品链接2</t>
  </si>
  <si>
    <t>新品链接3</t>
  </si>
  <si>
    <r>
      <rPr>
        <b/>
        <sz val="11"/>
        <rFont val="宋体"/>
        <charset val="134"/>
      </rPr>
      <t>利润</t>
    </r>
    <r>
      <rPr>
        <b/>
        <sz val="11"/>
        <rFont val="Calibri"/>
        <charset val="134"/>
      </rPr>
      <t xml:space="preserve">
$</t>
    </r>
  </si>
  <si>
    <r>
      <rPr>
        <b/>
        <sz val="11"/>
        <rFont val="宋体"/>
        <charset val="134"/>
      </rPr>
      <t>利润</t>
    </r>
    <r>
      <rPr>
        <b/>
        <sz val="11"/>
        <rFont val="Calibri"/>
        <charset val="134"/>
      </rPr>
      <t xml:space="preserve">
¥</t>
    </r>
  </si>
  <si>
    <r>
      <rPr>
        <b/>
        <sz val="11"/>
        <rFont val="宋体"/>
        <charset val="134"/>
      </rPr>
      <t>利润率</t>
    </r>
    <r>
      <rPr>
        <b/>
        <sz val="11"/>
        <rFont val="Calibri"/>
        <charset val="134"/>
      </rPr>
      <t xml:space="preserve">
%</t>
    </r>
  </si>
  <si>
    <r>
      <rPr>
        <b/>
        <sz val="11"/>
        <rFont val="宋体"/>
        <charset val="134"/>
      </rPr>
      <t>产品成本</t>
    </r>
    <r>
      <rPr>
        <b/>
        <sz val="11"/>
        <rFont val="Calibri"/>
        <charset val="134"/>
      </rPr>
      <t xml:space="preserve">
¥</t>
    </r>
  </si>
  <si>
    <r>
      <rPr>
        <b/>
        <sz val="11"/>
        <rFont val="宋体"/>
        <charset val="134"/>
      </rPr>
      <t>产品成本</t>
    </r>
    <r>
      <rPr>
        <b/>
        <sz val="11"/>
        <rFont val="Calibri"/>
        <charset val="134"/>
      </rPr>
      <t xml:space="preserve">
$</t>
    </r>
  </si>
  <si>
    <r>
      <rPr>
        <b/>
        <sz val="11"/>
        <rFont val="宋体"/>
        <charset val="134"/>
      </rPr>
      <t>头程成本</t>
    </r>
    <r>
      <rPr>
        <b/>
        <sz val="11"/>
        <rFont val="Calibri"/>
        <charset val="134"/>
      </rPr>
      <t xml:space="preserve">
¥</t>
    </r>
  </si>
  <si>
    <r>
      <rPr>
        <b/>
        <sz val="11"/>
        <rFont val="宋体"/>
        <charset val="134"/>
      </rPr>
      <t>头程成本</t>
    </r>
    <r>
      <rPr>
        <b/>
        <sz val="11"/>
        <rFont val="Calibri"/>
        <charset val="134"/>
      </rPr>
      <t xml:space="preserve">
$</t>
    </r>
  </si>
  <si>
    <r>
      <rPr>
        <b/>
        <sz val="11"/>
        <rFont val="宋体"/>
        <charset val="134"/>
      </rPr>
      <t>销售佣金</t>
    </r>
    <r>
      <rPr>
        <b/>
        <sz val="11"/>
        <rFont val="Calibri"/>
        <charset val="134"/>
      </rPr>
      <t xml:space="preserve">
$</t>
    </r>
  </si>
  <si>
    <r>
      <rPr>
        <b/>
        <sz val="11"/>
        <rFont val="Calibri"/>
        <charset val="134"/>
      </rPr>
      <t>FBA</t>
    </r>
    <r>
      <rPr>
        <b/>
        <sz val="11"/>
        <rFont val="宋体"/>
        <charset val="134"/>
      </rPr>
      <t>配送费</t>
    </r>
    <r>
      <rPr>
        <b/>
        <sz val="11"/>
        <rFont val="Calibri"/>
        <charset val="134"/>
      </rPr>
      <t xml:space="preserve">
$</t>
    </r>
  </si>
  <si>
    <r>
      <rPr>
        <b/>
        <sz val="11"/>
        <rFont val="宋体"/>
        <charset val="134"/>
      </rPr>
      <t>广告费</t>
    </r>
    <r>
      <rPr>
        <b/>
        <sz val="11"/>
        <rFont val="Calibri"/>
        <charset val="134"/>
      </rPr>
      <t xml:space="preserve">
$</t>
    </r>
  </si>
  <si>
    <r>
      <rPr>
        <b/>
        <sz val="11"/>
        <rFont val="宋体"/>
        <charset val="134"/>
      </rPr>
      <t>促销费</t>
    </r>
    <r>
      <rPr>
        <b/>
        <sz val="11"/>
        <rFont val="Calibri"/>
        <charset val="134"/>
      </rPr>
      <t xml:space="preserve">
$</t>
    </r>
  </si>
  <si>
    <r>
      <rPr>
        <b/>
        <sz val="11"/>
        <rFont val="宋体"/>
        <charset val="134"/>
      </rPr>
      <t>站外费</t>
    </r>
    <r>
      <rPr>
        <b/>
        <sz val="11"/>
        <rFont val="Calibri"/>
        <charset val="134"/>
      </rPr>
      <t xml:space="preserve">
$</t>
    </r>
  </si>
  <si>
    <t>【定制】挂牌-20*20cm-新双知更鸟</t>
  </si>
  <si>
    <t>蒋舒</t>
  </si>
  <si>
    <t>新设计</t>
  </si>
  <si>
    <t>英德都可以</t>
  </si>
  <si>
    <t>https://www.amazon.co.uk/dp/B0GT4QHWZK/ref=mweb_up_am_fl_st_na_un_up_sm_web?th=1</t>
  </si>
  <si>
    <t>https://www.amazon.co.uk/dp/B0GVCG8QM9</t>
  </si>
  <si>
    <t>https://www.amazon.de/shopthelook?q=https%3A%2F%2Fm.media-amazon.com%2Fimages%2FI%2F81fB4Bx4QYL._SL400_.jpg</t>
  </si>
  <si>
    <t>UK</t>
  </si>
  <si>
    <t>https://detail.1688.com/offer/971764513990.html?_t=1764220962551&amp;spm</t>
  </si>
  <si>
    <t>义乌市鼎禾工艺品有限公司</t>
  </si>
  <si>
    <t>亚克力</t>
  </si>
  <si>
    <t>挂件</t>
  </si>
  <si>
    <t>Pendant</t>
  </si>
  <si>
    <t>20*20</t>
  </si>
  <si>
    <t>【定制】挂牌-20*20cm-新生命树</t>
  </si>
  <si>
    <t>尹心如</t>
  </si>
  <si>
    <t>https://www.amazon.co.uk/dp/B0FBWX9C1N/ref=mweb_up_am_fl_st_na_un_up_sm_web</t>
  </si>
  <si>
    <t>https://www.amazon.de/shopthelook?q=https%3A%2F%2Fm.media-amazon.com%2Fimages%2FI%2F81XF8P1OQrL._SL400_.jpg</t>
  </si>
  <si>
    <t>【定制】花朵容器项链+卡片【银色】</t>
  </si>
  <si>
    <t>陈杨</t>
  </si>
  <si>
    <t>李杉</t>
  </si>
  <si>
    <t>美国站爆款</t>
  </si>
  <si>
    <t>组合sku</t>
  </si>
  <si>
    <t>https://www.amazon.co.uk/dp/B0H29Z5TZ3/ref=mweb_up_am_fl_st_na_un_up_sm_web</t>
  </si>
  <si>
    <t>https://www.amazon.com/dp/B0GX9Q554D?th=1</t>
  </si>
  <si>
    <t>https://www.amazon.co.uk/stylesnap?q=https%3A%2F%2Fm.media-amazon.com%2Fimages%2FI%2F71ZUWBpmaUL.jpg</t>
  </si>
  <si>
    <t>https://detail.1688.com/offer/1044035769590.html</t>
  </si>
  <si>
    <t>义乌市楚姝电子商务有限公司</t>
  </si>
  <si>
    <t>合金</t>
  </si>
  <si>
    <t>项链</t>
  </si>
  <si>
    <t>necklace</t>
  </si>
  <si>
    <t>银花朵容器项链</t>
  </si>
  <si>
    <t>子SKU</t>
  </si>
  <si>
    <t>【定制】感谢卡片【10*7】</t>
  </si>
  <si>
    <t>https://detail.1688.com/offer/1049645361832.html</t>
  </si>
  <si>
    <t>义乌市绒棠针织有限公司</t>
  </si>
  <si>
    <t>纸</t>
  </si>
  <si>
    <t>卡片</t>
  </si>
  <si>
    <t>Paper card</t>
  </si>
  <si>
    <t>【定制】花朵容器项链+卡片【金色】</t>
  </si>
  <si>
    <t>金花朵容器项链</t>
  </si>
  <si>
    <t>磨蒜盘【A款】</t>
  </si>
  <si>
    <t>阳姣</t>
  </si>
  <si>
    <t>近期热销</t>
  </si>
  <si>
    <t>https://www.amazon.co.uk/dp/B0H25M43RM?th=1</t>
  </si>
  <si>
    <t>https://www.amazon.co.uk/stylesnap?q=https%3A%2F%2Fm.media-amazon.com%2Fimages%2FI%2F71KsPWtgaEL.jpg</t>
  </si>
  <si>
    <t>https://detail.1688.com/offer/1043147356252.html?</t>
  </si>
  <si>
    <t>福建省德化县瑞絮工贸有限公司</t>
  </si>
  <si>
    <t>陶瓷</t>
  </si>
  <si>
    <t>磨蒜盘</t>
  </si>
  <si>
    <t>garlic grinding dish</t>
  </si>
  <si>
    <t>【4pcs】泳池电动宠物鱼感应仿真小鱼【带电】</t>
  </si>
  <si>
    <t>夏季热销产品</t>
  </si>
  <si>
    <t>https://www.amazon.co.uk/dp/B0H29YYXWL?th=1</t>
  </si>
  <si>
    <t>https://www.amazon.co.uk/stylesnap?q=https%3A%2F%2Fm.media-amazon.com%2Fimages%2FI%2F71GGiGfxDWL.jpg</t>
  </si>
  <si>
    <t>https://www.amazon.co.uk/dp/B0F6XWBDPC/ref</t>
  </si>
  <si>
    <t>https://detail.1688.com/offer/959948698269.html</t>
  </si>
  <si>
    <t>汕头市澄海区新顽童玩具贸易商行</t>
  </si>
  <si>
    <t>塑料</t>
  </si>
  <si>
    <t>玩具小鱼</t>
  </si>
  <si>
    <t>Plastic fish toy</t>
  </si>
  <si>
    <t>【6pcs】泳池玩具鱼【带电】</t>
  </si>
  <si>
    <t>https://detail.1688.com/offer/914564242390.html</t>
  </si>
  <si>
    <t>汕头市澄海区贝乐坊玩具厂(个体工商户)</t>
  </si>
  <si>
    <t>【10对】磁吸式窗帘遮光扣【带磁】</t>
  </si>
  <si>
    <t>FBM新品，无专利,性价比更高</t>
  </si>
  <si>
    <t>https://www.amazon.co.uk/dp/B0H2HG3JL2?th=1</t>
  </si>
  <si>
    <t>https://www.amazon.co.uk/stylesnap?q=https%3A%2F%2Fm.media-amazon.com%2Fimages%2FI%2F61jWokCHr4L.jpg</t>
  </si>
  <si>
    <t>https://detail.1688.com/offer/1037673120147.html</t>
  </si>
  <si>
    <t>义乌市钰灿日用百货有限公司</t>
  </si>
  <si>
    <t>磁铁</t>
  </si>
  <si>
    <t>磁吸式窗帘遮光扣</t>
  </si>
  <si>
    <t>Magnetic curtain blackout buckle</t>
  </si>
  <si>
    <t>【4pcs】20mm水管接头【20全新料天蓝弯头*4】</t>
  </si>
  <si>
    <t>已经拓过了</t>
  </si>
  <si>
    <t>拓品</t>
  </si>
  <si>
    <t>https://www.amazon.co.uk/dp/B0FR1WPHFY</t>
  </si>
  <si>
    <t>https://www.amazon.co.uk/stylesnap?q=https%3A%2F%2Fm.media-amazon.com%2Fimages%2FI%2F61sPcteRyvL.jpg</t>
  </si>
  <si>
    <t>https://detail.1688.com/offer/1003759776277.html</t>
  </si>
  <si>
    <t>邢台硕丰塑胶制品厂</t>
  </si>
  <si>
    <t>水管接头</t>
  </si>
  <si>
    <t>water pipe connector</t>
  </si>
  <si>
    <t>3D打印告示牌高地牛</t>
  </si>
  <si>
    <t>供应商新款</t>
  </si>
  <si>
    <t>https://www.amazon.co.uk/Collectible-Emotional-Sarcastic-Figurines-Prob-Llama/dp/B0H32XMMY8/ref</t>
  </si>
  <si>
    <t>https://www.amazon.co.uk/stylesnap?q=https%3A%2F%2Fm.media-amazon.com%2Fimages%2FI%2F61GbTNvxwtL.jpg</t>
  </si>
  <si>
    <t>https://detail.1688.com/offer/1054374817218.html</t>
  </si>
  <si>
    <t>东莞市辉晟恭工艺品有限公司</t>
  </si>
  <si>
    <t>PLA</t>
  </si>
  <si>
    <t>3D 打印玩偶</t>
  </si>
  <si>
    <t>3D printed doll</t>
  </si>
  <si>
    <t>8*8*8</t>
  </si>
  <si>
    <t>3D打印告示牌高地鸭子</t>
  </si>
  <si>
    <t>硅胶足球冰格【艾绿色4个足球冰格】</t>
  </si>
  <si>
    <t>拓品，英德</t>
  </si>
  <si>
    <t>https://www.amazon.co.uk/dp/B0GWMMLPFR?th=1</t>
  </si>
  <si>
    <t>https://www.amazon.co.uk/stylesnap?q=https%3A%2F%2Fm.media-amazon.com%2Fimages%2FI%2F71mk4sbsLGL.jpg</t>
  </si>
  <si>
    <t>https://detail.1688.com/offer/1028829829108.html</t>
  </si>
  <si>
    <t>东莞市首弘宇硅胶制品有限公司</t>
  </si>
  <si>
    <t>硅胶</t>
  </si>
  <si>
    <t>冰模</t>
  </si>
  <si>
    <t>Ice cube mold</t>
  </si>
  <si>
    <t>2026新款喂水器【紫色】</t>
  </si>
  <si>
    <t>尹心如 余江燕</t>
  </si>
  <si>
    <t>https://www.amazon.co.uk/Handmade-Flower-Butterfly-Colorful-Outdoor/dp/B0GTTTBMDK/ref</t>
  </si>
  <si>
    <t>https://www.amazon.co.uk/s?k=2026+New+Handmade+Metal+Flower+Garden+Stake&amp;i=outdoor&amp;crid=3FEU6GTJPQ9Z3&amp;sprefix=2026+new+handmade+metal+flower+garden+stake+%2Coutdoor%2C396&amp;ref=nb_sb_noss</t>
  </si>
  <si>
    <t>https://detail.1688.com/offer/1048668051825.html</t>
  </si>
  <si>
    <t>义乌市凌扬工艺品厂</t>
  </si>
  <si>
    <t>金属</t>
  </si>
  <si>
    <t>喂水器</t>
  </si>
  <si>
    <t>Bird Water Feeder</t>
  </si>
  <si>
    <t>2026新款喂水器【粉色】</t>
  </si>
  <si>
    <r>
      <rPr>
        <sz val="18"/>
        <color rgb="FF000000"/>
        <rFont val="宋体"/>
        <charset val="134"/>
        <scheme val="minor"/>
      </rPr>
      <t>余江燕</t>
    </r>
    <r>
      <rPr>
        <sz val="18"/>
        <color rgb="FF000000"/>
        <rFont val="宋体"/>
        <charset val="134"/>
        <scheme val="minor"/>
      </rPr>
      <t xml:space="preserve">
</t>
    </r>
    <r>
      <rPr>
        <sz val="18"/>
        <color rgb="FF000000"/>
        <rFont val="宋体"/>
        <charset val="134"/>
        <scheme val="minor"/>
      </rPr>
      <t>张奋奋</t>
    </r>
  </si>
  <si>
    <t>2026新款喂水器【玫红色】</t>
  </si>
  <si>
    <t>【2pcs】两个半自动烧烤刷+一个刷子【发图给客服】</t>
  </si>
  <si>
    <t>FBM热卖，夏季烧烤热销</t>
  </si>
  <si>
    <t>https://www.amazon.co.uk/dp/B0H2VGQ62D?th=1</t>
  </si>
  <si>
    <t>https://www.amazon.co.uk/stylesnap?q=https%3A%2F%2Fm.media-amazon.com%2Fimages%2FI%2F617ARbQseAL.jpg</t>
  </si>
  <si>
    <t>https://detail.1688.com/offer/996204704285.html</t>
  </si>
  <si>
    <t>阳江市贝米五金制品有限公司</t>
  </si>
  <si>
    <t>不锈钢</t>
  </si>
  <si>
    <t>不锈钢烧烤刷</t>
  </si>
  <si>
    <t>Stainless steel BBQ brush</t>
  </si>
  <si>
    <t>毛绒玩具【草莓【彩盒装+5号电池】】【带电】</t>
  </si>
  <si>
    <t>FBM新品</t>
  </si>
  <si>
    <t>https://www.amazon.co.uk/dp/B0H2KYGFBQ?th=1</t>
  </si>
  <si>
    <t>https://www.amazon.co.uk/stylesnap?q=https%3A%2F%2Fm.media-amazon.com%2Fimages%2FI%2F31WtteHCvuL.jpg</t>
  </si>
  <si>
    <t>https://detail.1688.com/offer/1048640203048.html</t>
  </si>
  <si>
    <t>汕头市澄海区林飞工艺厂</t>
  </si>
  <si>
    <t>毛绒</t>
  </si>
  <si>
    <t>毛绒玩具</t>
  </si>
  <si>
    <t>stuffed toys</t>
  </si>
  <si>
    <t>黑金可塞钱弹出式立体贺卡【18】</t>
  </si>
  <si>
    <t>https://www.amazon.co.uk/dp/B0G429V5QY/ref</t>
  </si>
  <si>
    <t>https://www.amazon.co.uk/stylesnap?q=https%3A%2F%2Fm.media-amazon.com%2Fimages%2FI%2F811HiUDgtVL.jpg</t>
  </si>
  <si>
    <t>https://detail.1688.com/offer/1054156715573.html</t>
  </si>
  <si>
    <t>新北区三井锦华工艺品商行</t>
  </si>
  <si>
    <t>贺卡</t>
  </si>
  <si>
    <t>Greeting cards</t>
  </si>
  <si>
    <t>黑金可塞钱弹出式立体贺卡【16】</t>
  </si>
  <si>
    <t>黑金可塞钱弹出式立体贺卡【21】</t>
  </si>
  <si>
    <t>燃气灶卡式高山扁气罐（欧洲罐）连接头</t>
  </si>
  <si>
    <t>FBM热卖</t>
  </si>
  <si>
    <t>https://www.amazon.co.uk/dp/B0H1CFX8R2?th=1</t>
  </si>
  <si>
    <t>https://www.amazon.co.uk/stylesnap?q=https%3A%2F%2Fm.media-amazon.com%2Fimages%2FI%2F51GjqyHNSjL.jpg</t>
  </si>
  <si>
    <t>https://detail.1688.com/offer/979493801270.html?spm=a26352.b28411319/2508.0.0</t>
  </si>
  <si>
    <t>广东开疆燃气具有限公司</t>
  </si>
  <si>
    <t>铝</t>
  </si>
  <si>
    <t>卡式炉转接头</t>
  </si>
  <si>
    <t>Cassette stove gas connector</t>
  </si>
  <si>
    <t>儿童泳池跳水玩具【小丑鱼+笼子】</t>
  </si>
  <si>
    <t>张奋奋</t>
  </si>
  <si>
    <t>FBM新品，无专利</t>
  </si>
  <si>
    <t>https://www.amazon.co.uk/dp/B0GXTZ7B8V?th=1</t>
  </si>
  <si>
    <t>https://www.amazon.co.uk/stylesnap?q=https%3A%2F%2Fm.media-amazon.com%2Fimages%2FI%2F71caXLoVaUL.jpg</t>
  </si>
  <si>
    <t>https://detail.1688.com/offer/1031675171280.html?spm=a26352.b28411319/2508.0.0</t>
  </si>
  <si>
    <t>义乌市封佑电子商务商行</t>
  </si>
  <si>
    <t>PE</t>
  </si>
  <si>
    <t>泳池玩具</t>
  </si>
  <si>
    <t>Pool toys</t>
  </si>
  <si>
    <t>儿童泳池跳水玩具【鲨鱼笼】</t>
  </si>
  <si>
    <t>7*7*8</t>
  </si>
  <si>
    <t>儿童泳池跳水玩具【鲸鱼+笼子】</t>
  </si>
  <si>
    <t>儿童泳池跳水玩具【章鱼+笼子】</t>
  </si>
  <si>
    <t>咕咕嘎嘎企鹅玩偶【25cm真空包装】</t>
  </si>
  <si>
    <t>https://www.amazon.co.uk/dp/B0H2YRXZS2?th=1</t>
  </si>
  <si>
    <t>https://www.amazon.de/dp/B0GXKKMGYQ/ref=mweb_up_am_fl_st_na_un_up_sm_web</t>
  </si>
  <si>
    <t>https://www.amazon.co.uk/stylesnap?q=https%3A%2F%2Fm.media-amazon.com%2Fimages%2FI%2F61gLS1ZXcnL.jpg</t>
  </si>
  <si>
    <t>https://detail.1688.com/offer/1040074115805.html</t>
  </si>
  <si>
    <t>天长市崇小崇玩具制造厂</t>
  </si>
  <si>
    <t>PP棉</t>
  </si>
  <si>
    <t>玩具</t>
  </si>
  <si>
    <t>toy</t>
  </si>
  <si>
    <t>25cm</t>
  </si>
  <si>
    <t>【12套】糖果罐颜色冰箱贴</t>
  </si>
  <si>
    <t>https://www.amazon.co.uk/dp/B0GR97Y66X/ref</t>
  </si>
  <si>
    <t>https://www.amazon.co.uk/stylesnap?q=https%3A%2F%2Fm.media-amazon.com%2Fimages%2FI%2F81f--gz3%2B3L.jpg</t>
  </si>
  <si>
    <t>https://detail.1688.com/offer/994858185572.html</t>
  </si>
  <si>
    <t>深圳市龙岗区新路加广告制造厂</t>
  </si>
  <si>
    <t>软磁</t>
  </si>
  <si>
    <t>冰箱贴</t>
  </si>
  <si>
    <t>Fridge magnet</t>
  </si>
  <si>
    <t>【定制】铁皮挂牌-【11点11许愿】20*20</t>
  </si>
  <si>
    <t>外网热卖</t>
  </si>
  <si>
    <t>https://www.amazon.co.uk/dp/B0GXJ5276P/ref</t>
  </si>
  <si>
    <t>https://www.amazon.co.uk/stylesnap?q=https%3A%2F%2Fm.media-amazon.com%2Fimages%2FI%2F61pOu2ZlDRL.jpg</t>
  </si>
  <si>
    <t>https://page.1688.com/shtml/static/wrongpage.html</t>
  </si>
  <si>
    <t>标志牌</t>
  </si>
  <si>
    <t>Signboard</t>
  </si>
  <si>
    <t>【定制】铁皮挂牌-【我的快乐之地花卉】30*10</t>
  </si>
  <si>
    <t>https://www.amazon.co.uk/dp/B0GK7ZPWFF/ref</t>
  </si>
  <si>
    <t>https://www.amazon.co.uk/dp/B0GJ5N14ZG/ref</t>
  </si>
  <si>
    <t>https://www.amazon.co.uk/stylesnap?q=https%3A%2F%2Fm.media-amazon.com%2Fimages%2FI%2F71xl7MbBU5L.jpg</t>
  </si>
  <si>
    <t>【2pcs】蝴蝶结收纳包卫生巾包【 粉爱心碎花款+ 黑粉星星蝴蝶结款】</t>
  </si>
  <si>
    <t>周沁仪</t>
  </si>
  <si>
    <t>新款</t>
  </si>
  <si>
    <t>英德</t>
  </si>
  <si>
    <t>https://www.amazon.co.uk/dp/B0GSFSM1L2</t>
  </si>
  <si>
    <t>https://www.amazon.co.uk/dp/B0G3XLVGNT</t>
  </si>
  <si>
    <t>https://www.amazon.co.uk/stylesnap?q=https%3A%2F%2Fm.media-amazon.com%2Fimages%2FI%2F71nImuB%2B31L._ACSX300_QL70_ML2_.jpg</t>
  </si>
  <si>
    <t>https://detail.1688.com/offer/1052769407610.html?spm</t>
  </si>
  <si>
    <t>义乌市乘鑫日用品有限公司</t>
  </si>
  <si>
    <t>涤纶</t>
  </si>
  <si>
    <t>包</t>
  </si>
  <si>
    <t>bag</t>
  </si>
  <si>
    <t>花束项链【银花朵容器项链铜材+卡片】</t>
  </si>
  <si>
    <t>美国站新品，表现很好，英国仅一家fba</t>
  </si>
  <si>
    <t>https://www.amazon.co.uk/Cunegra-Necklace-Bouquet-Pendant-Mothers/dp/B0GZ3W5HDN</t>
  </si>
  <si>
    <t>https://www.amazon.com/shopthelook?q=https%3A%2F%2Fm.media-amazon.com%2Fimages%2FI%2F71Czsk8ZmDL._AC.jpg</t>
  </si>
  <si>
    <t>https://detail.1688.com/offer/1044035769590.html?spm</t>
  </si>
  <si>
    <t>花瓶项链</t>
  </si>
  <si>
    <t>和上面使用场景相同，功能相似</t>
  </si>
  <si>
    <t>https://www.amazon.com/dp/B0GXKCFFPY</t>
  </si>
  <si>
    <t>https://detail.1688.com/offer/1032423252698.html?fromkv=cbuPcPlugin:imageSearchDrawerCard&amp;spm</t>
  </si>
  <si>
    <t>义乌市芙苏饰品商行</t>
  </si>
  <si>
    <t>【20pcs】海洋主题鞋花</t>
  </si>
  <si>
    <t>夏季海洋主题好卖</t>
  </si>
  <si>
    <t>https://www.amazon.co.uk/dp/B0GXJB2MJ6</t>
  </si>
  <si>
    <t>https://www.amazon.co.uk/dp/B0F7HQXS6D</t>
  </si>
  <si>
    <t>https://www.amazon.co.uk/stylesnap?q=https%3A%2F%2Fm.media-amazon.com%2Fimages%2FI%2F61cSjpqLePL.jpg</t>
  </si>
  <si>
    <t>https://detail.1688.com/offer/1043329327818.html?spm</t>
  </si>
  <si>
    <t>揭阳市榕城区贤博鞋材厂</t>
  </si>
  <si>
    <t>鞋花</t>
  </si>
  <si>
    <t>Crocs charms</t>
  </si>
  <si>
    <t>【18pcs】腊肠狗鞋花【SZ-535蝴蝶结花绳腊肠狗】【SZ-541苹果腊肠狗】</t>
  </si>
  <si>
    <t>李杉
余江燕</t>
  </si>
  <si>
    <t>供应商新款，元素好卖市面上没有腊肠狗的鞋花</t>
  </si>
  <si>
    <t>https://detail.1688.com/offer/1054900968753.html?spm</t>
  </si>
  <si>
    <t>【带电】胡萝卜节拍琴【胡萝卜袋装】【买家自备电池】</t>
  </si>
  <si>
    <t>自发货新品，好卖</t>
  </si>
  <si>
    <t>https://www.amazon.co.uk/dp/B0H1CT7FRQ</t>
  </si>
  <si>
    <t>https://www.amazon.de/dp/B0GXNM7H6M</t>
  </si>
  <si>
    <t>https://www.amazon.co.uk/stylesnap?q=https%3A%2F%2Fm.media-amazon.com%2Fimages%2FI%2F31nQ-QqHr1L.jpg</t>
  </si>
  <si>
    <t>https://detail.1688.com/offer/1048640203048.html?spm</t>
  </si>
  <si>
    <t>【40pcs】蝴蝶结樱桃花边纸巾</t>
  </si>
  <si>
    <t>唐若</t>
  </si>
  <si>
    <t>https://www.amazon.co.uk/dp/B0FYX27GMB</t>
  </si>
  <si>
    <t>https://www.amazon.de/-/en/PARTY-GO-Napkins-Childrens-Birthday/dp/B0F1SZTLDY</t>
  </si>
  <si>
    <t>https://www.amazon.de/-/en/Koboko-Napkins-Birthday-Decoration-Childrens/dp/B0GG39WD1X</t>
  </si>
  <si>
    <t>https://detail.1688.com/offer/1046547611617.html?spm</t>
  </si>
  <si>
    <t>义乌市星派纸制品有限公司</t>
  </si>
  <si>
    <t>Napkins</t>
  </si>
  <si>
    <t>蝴蝶结单肩腋下包【无挂件】</t>
  </si>
  <si>
    <t>蝴蝶结好卖</t>
  </si>
  <si>
    <t>https://www.amazon.co.uk/dp/B0GZNPB8SC</t>
  </si>
  <si>
    <t>https://detail.1688.com/offer/1054271992957.html?spm</t>
  </si>
  <si>
    <t>高碑店市新城家麟箱包厂</t>
  </si>
  <si>
    <t>尼龙</t>
  </si>
  <si>
    <t>【2set】欧标充电枪挂枪座</t>
  </si>
  <si>
    <t>之前的充电枪保护罩卖得不错</t>
  </si>
  <si>
    <t>https://www.amazon.co.uk/dp/B0GTYG78H9</t>
  </si>
  <si>
    <t>https://www.amazon.co.uk/dp/B0FT13F3Q7</t>
  </si>
  <si>
    <t>https://detail.1688.com/offer/795497446186.html?_t=1780019622864&amp;spm</t>
  </si>
  <si>
    <t>温州塑壕科技有限公司</t>
  </si>
  <si>
    <t>电缆支架</t>
  </si>
  <si>
    <t>cable holder</t>
  </si>
  <si>
    <t>方格斜纹爱心蝴蝶结收纳包</t>
  </si>
  <si>
    <t>市面上的新款</t>
  </si>
  <si>
    <t>https://www.amazon.co.uk/dp/B0GHR9G9SH</t>
  </si>
  <si>
    <t>https://www.amazon.co.uk/stylesnap?q=https%3A%2F%2Fm.media-amazon.com%2Fimages%2FI%2F61lhUOfC8jL.jpg</t>
  </si>
  <si>
    <t>https://detail.1688.com/offer/986476469057.html?fromkv=cbuPcPlugin:imageSearchDrawerCard&amp;spm</t>
  </si>
  <si>
    <t>义乌市比邻文化用品有限公司</t>
  </si>
  <si>
    <t>粉蝴蝶结樱桃收纳化妆包</t>
  </si>
  <si>
    <t>【22pcs】高尔夫派对拉旗纸巾组合【拉旗*1+纸巾*20】</t>
  </si>
  <si>
    <t>高尔夫产品好卖</t>
  </si>
  <si>
    <t>12套起</t>
  </si>
  <si>
    <t>https://www.amazon.co.uk/dp/B0GJRHB89S</t>
  </si>
  <si>
    <t>https://www.amazon.com/dp/B0GDXV578P</t>
  </si>
  <si>
    <t>https://detail.1688.com/offer/1049898934549.html?_t=1780025316101&amp;spm https://detail.1688.com/offer/796805556216.html?_t=1780025287862&amp;spm</t>
  </si>
  <si>
    <t>【4pcs】蝴蝶结丝带笔</t>
  </si>
  <si>
    <t>https://www.amazon.co.uk/dp/B0GQ95G3V1</t>
  </si>
  <si>
    <t>https://www.amazon.co.uk/dp/B0GS2852D6</t>
  </si>
  <si>
    <t>https://detail.1688.com/offer/1054164452740.html?spm</t>
  </si>
  <si>
    <t>义乌市宸巨电子商务有限公司</t>
  </si>
  <si>
    <t>笔</t>
  </si>
  <si>
    <t>pen</t>
  </si>
  <si>
    <t>【2pcs】樱桃印花挎包钥匙扣</t>
  </si>
  <si>
    <t>供应商新款，樱桃元素销量好</t>
  </si>
  <si>
    <t>https://www.amazon.co.uk/dp/B0FCLXMSF6</t>
  </si>
  <si>
    <t>https://detail.1688.com/offer/1043747154962.html?spm</t>
  </si>
  <si>
    <t>保定白沟新城带头箱包厂</t>
  </si>
  <si>
    <t>粉色樱桃包</t>
  </si>
  <si>
    <t>子sku</t>
  </si>
  <si>
    <t>樱桃挂件</t>
  </si>
  <si>
    <t>https://detail.1688.com/offer/1044387534620.html?spm</t>
  </si>
  <si>
    <t>东阳市希瑾饰品厂</t>
  </si>
  <si>
    <t>3D打印足球玩具模型</t>
  </si>
  <si>
    <t>美国站新品，且销量很好，英国自发货已出单</t>
  </si>
  <si>
    <t>https://www.amazon.com/dp/B0H2XVKXST</t>
  </si>
  <si>
    <t>https://www.amazon.co.uk/dp/B0H251SH2C</t>
  </si>
  <si>
    <t>https://detail.1688.com/offer/1053033920239.html?spm</t>
  </si>
  <si>
    <t>东莞市拓维创想科技有限公司</t>
  </si>
  <si>
    <t>Toy</t>
  </si>
  <si>
    <t>【4pcs】可擦徽章记事板</t>
  </si>
  <si>
    <t>自发货新品，美国fba刚上就出单</t>
  </si>
  <si>
    <t>https://www.amazon.co.uk/dp/B0H1HNB3H9</t>
  </si>
  <si>
    <t>https://www.amazon.com/dp/B0H1VN6TD4</t>
  </si>
  <si>
    <t>https://www.amazon.co.uk/stylesnap?q=https%3A%2F%2Fm.media-amazon.com%2Fimages%2FI%2F71sTsFWsOKL._AC.jpg</t>
  </si>
  <si>
    <t>https://detail.1688.com/offer/1049646087915.html?spm</t>
  </si>
  <si>
    <t>义乌市跨宇工艺品有限公司</t>
  </si>
  <si>
    <t>徽章笔记</t>
  </si>
  <si>
    <t>badge note</t>
  </si>
  <si>
    <t>5.4*8.5</t>
  </si>
  <si>
    <t>【带磁】【10pcs】颜色识别磁铁玩具冰箱贴</t>
  </si>
  <si>
    <t>新品，表现不错，供应商新款</t>
  </si>
  <si>
    <t>https://www.amazon.co.uk/dp/B0GR9H6KQS</t>
  </si>
  <si>
    <t>https://www.amazon.de/dp/B0GRB3GCQC</t>
  </si>
  <si>
    <t>https://www.amazon.co.uk/stylesnap?q=https%3A%2F%2Fm.media-amazon.com%2Fimages%2FI%2F71if7W4z5zL._AC.jpg</t>
  </si>
  <si>
    <t>https://detail.1688.com/offer/1052125905785.html?_t=1780278993810&amp;spm</t>
  </si>
  <si>
    <t>深圳市悦美广告实业有限公司</t>
  </si>
  <si>
    <t>Fridge Magnet</t>
  </si>
  <si>
    <t>【40pcs】蝴蝶结樱桃纸巾</t>
  </si>
  <si>
    <t>供应商新款，蝴蝶结樱桃好卖</t>
  </si>
  <si>
    <t>https://detail.1688.com/offer/1054544462475.html?spm</t>
  </si>
  <si>
    <t>义乌市良策工艺品有限公司</t>
  </si>
  <si>
    <t>鹦鹉啃咬镜子转转乐【绿色】</t>
  </si>
  <si>
    <t>美国站买的比较好，fba暂时没上</t>
  </si>
  <si>
    <t>https://www.amazon.com/dp/B0G78JH6FR</t>
  </si>
  <si>
    <t>https://www.amazon.com/dp/B0G4W2GQ31</t>
  </si>
  <si>
    <t>https://detail.1688.com/offer/1037576539879.html?offerId=1037576539879&amp;hotSaleSkuId=6222600139818&amp;spm</t>
  </si>
  <si>
    <t>温州乐涵品牌管理有限公司</t>
  </si>
  <si>
    <t>转轮</t>
  </si>
  <si>
    <t>Roller</t>
  </si>
  <si>
    <t>【2pcs】猫爪键帽钥匙扣【黄色小狗+粉色小狗】</t>
  </si>
  <si>
    <t>卖点猫爪的键帽，供应商新款</t>
  </si>
  <si>
    <t>https://www.amazon.de/dp/B0GRH1NXNX</t>
  </si>
  <si>
    <t>https://www.amazon.co.uk/dp/B0GXKJ8CW5</t>
  </si>
  <si>
    <t>https://www.amazon.co.uk/stylesnap?q=https%3A%2F%2Fm.media-amazon.com%2Fimages%2FI%2F71aeRkELUIL._AC.jpg</t>
  </si>
  <si>
    <t>https://detail.1688.com/offer/1047508163611.html?offerId=1047508163611&amp;hotSaleSkuId=6242561190419&amp;spm</t>
  </si>
  <si>
    <t>义乌市琪喆电子商务商行</t>
  </si>
  <si>
    <t>钥匙扣</t>
  </si>
  <si>
    <t>keychain</t>
  </si>
  <si>
    <t>L:5.5*3.6*3.3 T:5.4*3.6*3.3</t>
  </si>
  <si>
    <t>【带磁】猫咪毛发收集冰箱贴</t>
  </si>
  <si>
    <t>https://www.amazon.co.uk/dp/B0GYSFKFC7</t>
  </si>
  <si>
    <t>https://www.amazon.co.uk/dp/B0GYSF1NZQ</t>
  </si>
  <si>
    <t>https://www.amazon.co.uk/stylesnap?q=https%3A%2F%2Fm.media-amazon.com%2Fimages%2FI%2F41qlP8dNJKL.jpg</t>
  </si>
  <si>
    <t>https://detail.1688.com/offer/1047738239197.html?fromkv=cbuPcPlugin:imageSearchDrawerCard&amp;spm</t>
  </si>
  <si>
    <t>武汉市洪山区焙筱贸易商行</t>
  </si>
  <si>
    <t>【定制】-帆布袋-伦敦</t>
  </si>
  <si>
    <t>https://www.amazon.co.uk/dp/B0GKTP8TTJ</t>
  </si>
  <si>
    <t>https://detail.1688.com/offer/1006205503450.html?spm=a26286.8251493.description.2.221425b2eHhjOM</t>
  </si>
  <si>
    <t>义乌市希亮贸易有限公司</t>
  </si>
  <si>
    <t>帆布</t>
  </si>
  <si>
    <t>帆布袋</t>
  </si>
  <si>
    <t>Canvas bag</t>
  </si>
  <si>
    <t>【定制】【4pcs】蝴蝶结杯垫</t>
  </si>
  <si>
    <t>https://www.amazon.co.uk/dp/B0GTTZW25N</t>
  </si>
  <si>
    <t>https://detail.1688.com/offer/1052832871120.html?</t>
  </si>
  <si>
    <t>木质</t>
  </si>
  <si>
    <t>杯垫</t>
  </si>
  <si>
    <t>Coaster</t>
  </si>
  <si>
    <t>10*10</t>
  </si>
  <si>
    <t>高地牛钥匙挂牌</t>
  </si>
  <si>
    <t>https://www.amazon.co.uk/dp/B0GVCFXTJP</t>
  </si>
  <si>
    <t>【定制】【2pcs】垃圾桶贴纸</t>
  </si>
  <si>
    <t>新载体，市场很大</t>
  </si>
  <si>
    <t>https://www.amazon.co.uk/Peacoblue-Stickers-Wildflowers-Waterproof-Decoration/dp/B0G2SJCLLM</t>
  </si>
  <si>
    <t>https://www.amazon.de/dp/B0G1STHG5C/ref=mweb_up_am_fl_st_na_un_up_sm_web?th=1</t>
  </si>
  <si>
    <t>https://www.amazon.co.uk/stylesnap?q=https%3A%2F%2Fm.media-amazon.com%2Fimages%2FI%2F61dfhIzIEOL.jpg</t>
  </si>
  <si>
    <t>https://detail.1688.com/offer/940195528867.html?spm</t>
  </si>
  <si>
    <t>广州枫依科技有限公司</t>
  </si>
  <si>
    <t>贴纸</t>
  </si>
  <si>
    <t>Stickers</t>
  </si>
  <si>
    <t>【定制】【4pcs】出风口夹-高地牛</t>
  </si>
  <si>
    <t>https://www.amazon.co.uk/dp/B0GTYYKJHQ</t>
  </si>
  <si>
    <t>https://detail.1688.com/offer/1051950802243.html</t>
  </si>
  <si>
    <t>卡扣</t>
  </si>
  <si>
    <t>Snap clip</t>
  </si>
  <si>
    <t>【定制】出风口夹-腊肠狗</t>
  </si>
  <si>
    <t>尹心如
余江燕</t>
  </si>
  <si>
    <t>之前的标品卖的不错</t>
  </si>
  <si>
    <t>https://www.amazon.co.uk/Aurelx-Dachshund-Acrylic-Fresheners-Accessories/dp/B0GKFDX4PH</t>
  </si>
  <si>
    <t>【定制】【6pce】木质精灵门-尺寸图发群里</t>
  </si>
  <si>
    <t>龙梦临</t>
  </si>
  <si>
    <t>定制上新款，马卡龙色系</t>
  </si>
  <si>
    <t>https://www.amazon.co.uk/dp/B0FPQPNXGJ</t>
  </si>
  <si>
    <t>https://detail.1688.com/offer/1052832871120.html?spm=a28888.success.0.0.63a17e926u1OPm</t>
  </si>
  <si>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4420190000</t>
    </r>
  </si>
  <si>
    <t>微缩门</t>
  </si>
  <si>
    <t>Wooden Fairy Door</t>
  </si>
  <si>
    <t>【定制】【4pcs】亚克力出风口夹-高地牛1</t>
  </si>
  <si>
    <t>高地牛喝向日葵的组合符合夏季</t>
  </si>
  <si>
    <t>https://www.amazon.co.uk/dp/B0FVL3BBWJ</t>
  </si>
  <si>
    <t>https://www.amazon.co.uk/dp/B0GTYYKJHQ?psc=1</t>
  </si>
  <si>
    <t>https://www.amazon.co.uk/stylesnap?q=https%3A%2F%2Fm.media-amazon.com%2Fimages%2FI%2F71HF2iWZ9ML.jpg</t>
  </si>
  <si>
    <t>出风口夹</t>
  </si>
  <si>
    <t>Air vent clip</t>
  </si>
  <si>
    <t>20*20cm</t>
  </si>
  <si>
    <t>【100pcs】可爱牦牛贴纸</t>
  </si>
  <si>
    <t>高地牛元素</t>
  </si>
  <si>
    <t>https://www.amazon.co.uk/dp/B0GMQF2WX7?psc=1</t>
  </si>
  <si>
    <t>https://www.amazon.co.uk/stylesnap?q=https%3A%2F%2Fm.media-amazon.com%2Fimages%2FI%2F71wUmotBODL.jpg</t>
  </si>
  <si>
    <t>https://detail.1688.com/offer/1012075970042.html?spm</t>
  </si>
  <si>
    <t>义乌市赫萱贸易有限公司</t>
  </si>
  <si>
    <t>纸质</t>
  </si>
  <si>
    <t>sticker</t>
  </si>
  <si>
    <t>【45pcs】67冰淇淋主题派对装饰用品【套装三（1条拉旗+1个大插+24个小插+18个气球）】</t>
  </si>
  <si>
    <t>颜色更加粉嫩</t>
  </si>
  <si>
    <t>https://www.amazon.co.uk/dp/B0GQZBY67K</t>
  </si>
  <si>
    <t>https://detail.1688.com/offer/1030349242052.html?offerId</t>
  </si>
  <si>
    <t>厦门优美好科技有限公司</t>
  </si>
  <si>
    <t>派对装饰</t>
  </si>
  <si>
    <t>Party decorations</t>
  </si>
  <si>
    <t>木制复古书籍阅读年计数器【A平面】</t>
  </si>
  <si>
    <t>英德都能做，德国数据好，英国没有这款的FBA,第四翼龙元素可以尝试一下</t>
  </si>
  <si>
    <t>德国站:https://www.amazon.de/dp/B0GHVS9PK9/ref</t>
  </si>
  <si>
    <t>https://www.amazon.co.uk/stylesnap?q=https%3A%2F%2Fm.media-amazon.com%2Fimages%2FI%2F61qJ2jKMVNL._AC.jpg</t>
  </si>
  <si>
    <t>https://detail.1688.com/offer/1010392917910.html?spm</t>
  </si>
  <si>
    <t>义乌市麦柚工艺品厂</t>
  </si>
  <si>
    <t>装饰品</t>
  </si>
  <si>
    <t>Decorations</t>
  </si>
  <si>
    <t>【4pcs】水上游戏动物笼子【鲸鱼+刺豚+海龟+笼子】</t>
  </si>
  <si>
    <t>FBM也有销量，新品速上，有价格优势</t>
  </si>
  <si>
    <t>英德都可做</t>
  </si>
  <si>
    <t>https://www.amazon.co.uk/dp/B0GTQ157ZX?th=1</t>
  </si>
  <si>
    <t>https://www.amazon.co.uk/dp/B0GSVP9GDQ?th=1</t>
  </si>
  <si>
    <t>https://www.amazon.co.uk/stylesnap?q=https%3A%2F%2Fm.media-amazon.com%2Fimages%2FI%2F71N6StNmNEL.jpg</t>
  </si>
  <si>
    <t>https://detail.1688.com/offer/1039712336374.html?spm</t>
  </si>
  <si>
    <t>南昌芸创三维打印有限公司</t>
  </si>
  <si>
    <t>toys</t>
  </si>
  <si>
    <t>【4pcs】水上游戏动物笼子【鲨鱼+小丑鱼+章鱼+笼子】</t>
  </si>
  <si>
    <t>德国没有fba</t>
  </si>
  <si>
    <t>德国站：https://www.amazon.de/shopthelook?q=https%3A%2F%2Fm.media-amazon.com%2Fimages%2FI%2F71N6StNmNEL._AC.jpg</t>
  </si>
  <si>
    <t>https://www.amazon.co.uk/dp/B0GWQQ7WFV?th=1</t>
  </si>
  <si>
    <t>https://www.amazon.co.uk/dp/B0GYWMD2T8?psc=1</t>
  </si>
  <si>
    <t>【6sets】水上游戏动物笼子【六个装+笼子】</t>
  </si>
  <si>
    <t>https://detail.1688.com/offer/1036449375228.html?spm</t>
  </si>
  <si>
    <t>义乌市乾茜电子商务商行</t>
  </si>
  <si>
    <t>弹性脏辫彩绳【浅绿色备注：下单备注那23*18袋子折叠打包】</t>
  </si>
  <si>
    <t>FBM都有销量</t>
  </si>
  <si>
    <t>https://www.amazon.co.uk/dp/B0GN2SYCDK?th=1</t>
  </si>
  <si>
    <t>https://www.amazon.co.uk/stylesnap?q=https%3A%2F%2Fm.media-amazon.com%2Fimages%2FI%2F71TiJT2SDgL.jpg</t>
  </si>
  <si>
    <t>https://detail.1688.com/offer/1031569019669.html</t>
  </si>
  <si>
    <t>义乌市轩忻贸易有限公司</t>
  </si>
  <si>
    <t>合成纺织材料</t>
  </si>
  <si>
    <t>假发</t>
  </si>
  <si>
    <t>wig</t>
  </si>
  <si>
    <t>【3sets】粉色花朵装饰横幅3【BA529】</t>
  </si>
  <si>
    <t>新款，无现货，等排单</t>
  </si>
  <si>
    <t>20套起</t>
  </si>
  <si>
    <t>https://www.amazon.co.uk/dp/B0FHJQQV3H/ref</t>
  </si>
  <si>
    <t>https://www.amazon.co.uk/dp/B0DK6FZ2SR/ref</t>
  </si>
  <si>
    <t>https://www.amazon.co.uk/stylesnap?q=https%3A%2F%2Fm.media-amazon.com%2Fimages%2FI%2F71BN3TkmfXL._AC.jpg</t>
  </si>
  <si>
    <t>https://detail.1688.com/offer/1055060553880.html?spm</t>
  </si>
  <si>
    <t>温州市菲儿工艺品有限公司</t>
  </si>
  <si>
    <t>【40pcs】西部牛仔餐巾纸【ZJ076*2 备注：下单备注40张为一套打包】</t>
  </si>
  <si>
    <t>相同款式就一家，刚上新不久</t>
  </si>
  <si>
    <t>https://www.amazon.co.uk/dp/B0GQL8LVXZ?psc=1</t>
  </si>
  <si>
    <t>https://www.amazon.co.uk/stylesnap?q=https%3A%2F%2Fm.media-amazon.com%2Fimages%2FI%2F81p3xxFTrJL.jpg</t>
  </si>
  <si>
    <t>https://detail.1688.com/offer/894171971205.html?spm</t>
  </si>
  <si>
    <t>杭州汐萌文化用品有限公司</t>
  </si>
  <si>
    <t>纸巾</t>
  </si>
  <si>
    <t>paper</t>
  </si>
  <si>
    <t>【101pcs】【漏斗颜色随机】一次性棒棒冰袋食品级雪糕模冰棍自封袋【棒棒制冰袋【100只】密封不漏加厚食品级＋漏斗颜色随机发 备注：下单备注冰袋加漏斗为一套打包】</t>
  </si>
  <si>
    <t>尺寸更大</t>
  </si>
  <si>
    <t>https://www.amazon.co.uk/dp/B0GYRRN47M?psc=1</t>
  </si>
  <si>
    <t>https://www.amazon.co.uk/dp/B0F66J29FN</t>
  </si>
  <si>
    <t>https://detail.1688.com/offer/1047482133108.html?spm</t>
  </si>
  <si>
    <t>兰溪市汇君生物科技有限公司</t>
  </si>
  <si>
    <t>食品袋</t>
  </si>
  <si>
    <t>food bag</t>
  </si>
  <si>
    <t>【定制】挂牌-孔雀与月亮</t>
  </si>
  <si>
    <t>几款带月亮吊坠的都卖的不错</t>
  </si>
  <si>
    <t>https://www.amazon.co.uk/dp/B0GRGCBDPG</t>
  </si>
  <si>
    <t>新款波点蝴蝶结三折零钱包【粉色】</t>
  </si>
  <si>
    <t>可以尝试一下</t>
  </si>
  <si>
    <t>https://www.amazon.co.uk/dp/B0DSFFWGLP?psc=1</t>
  </si>
  <si>
    <t>https://www.amazon.co.uk/s?k=Polka+Dot+BowWomen%27s+Tri-fold+Zero+Wallet&amp;crid=QEBIWE8KGU3X&amp;sprefix=polka+dot+bowwomen%27s+tri-fold+zero+wallet%2Caps%2C3255&amp;ref=nb_sb_noss</t>
  </si>
  <si>
    <t>https://detail.1688.com/offer/1045288037552.html?spm</t>
  </si>
  <si>
    <t>广州艾纶皮具有限公司</t>
  </si>
  <si>
    <t>PU</t>
  </si>
  <si>
    <t>钱包</t>
  </si>
  <si>
    <t>wallet</t>
  </si>
  <si>
    <t>短款小清新三折钱包【
BS-1141：散口三折-米色波点蝴蝶结】</t>
  </si>
  <si>
    <t>款式不一样</t>
  </si>
  <si>
    <t>https://detail.1688.com/offer/842212598948.html?_t</t>
  </si>
  <si>
    <t>新款纸巾套挂绳布艺纸巾盒【粉色】</t>
  </si>
  <si>
    <t>fbm这种类型有销量，没有同款，价格优势非常明显</t>
  </si>
  <si>
    <t>https://www.amazon.co.uk/dp/B0GT3T6HVC?th=1</t>
  </si>
  <si>
    <t>https://www.amazon.co.uk/dp/B0GFWDNZJS?th=1</t>
  </si>
  <si>
    <t>https://www.amazon.co.uk/stylesnap?q=https%3A%2F%2Fm.media-amazon.com%2Fimages%2FI%2F61I6q423dBL.jpg</t>
  </si>
  <si>
    <t>https://detail.1688.com/offer/1015573912033.html?spm</t>
  </si>
  <si>
    <t>纸巾盒</t>
  </si>
  <si>
    <t>tissue box</t>
  </si>
  <si>
    <t>创意限定手链礼品【蝴蝶手链 备注：协商21.5元一套】</t>
  </si>
  <si>
    <t>FBM 新品</t>
  </si>
  <si>
    <t>https://www.amazon.co.uk/dp/B0H2MC339V?th=1</t>
  </si>
  <si>
    <t>https://www.amazon.co.uk/dp/B0H25V983K?th=1&amp;psc=1</t>
  </si>
  <si>
    <t>https://www.amazon.co.uk/stylesnap?q=https%3A%2F%2Fm.media-amazon.com%2Fimages%2FI%2F61hzcNaCpqL.jpg</t>
  </si>
  <si>
    <t>https://detail.1688.com/offer/1054478188684.html?spm</t>
  </si>
  <si>
    <t>义乌市睿繁科技有限公司</t>
  </si>
  <si>
    <t>天然石</t>
  </si>
  <si>
    <t>手链</t>
  </si>
  <si>
    <t>Bracelet</t>
  </si>
  <si>
    <t>7*7*4.5cm</t>
  </si>
  <si>
    <t>创意限定手链礼品【蜂鸟手链（现货）备注：协商21.5元一套】</t>
  </si>
  <si>
    <t>蜂鸟款出的最好</t>
  </si>
  <si>
    <t>创意限定手链礼品【高地牛手链（现货）备注：协商21.5元一套】</t>
  </si>
  <si>
    <t>高地牛元素好卖</t>
  </si>
  <si>
    <t>【定制】隔层束口袋【gaming】【45*36】【真空包装】</t>
  </si>
  <si>
    <t>宋凤莉</t>
  </si>
  <si>
    <t>https://www.amazon.co.uk/Xutanek-Drawstring-Bags-Waterproof-Enthusiasts/dp/B0GPWBY2JY</t>
  </si>
  <si>
    <t>https://www.amazon.co.uk/Xutanek-Drawstring-Gym-Bag-Boys/dp/B0GWCG9B98</t>
  </si>
  <si>
    <t>https://detail.1688.com/offer/991583416496.html?spm=a26352.b28411319/2508.0.0</t>
  </si>
  <si>
    <t>义乌市首荷电子商务商行</t>
  </si>
  <si>
    <t>束口包</t>
  </si>
  <si>
    <t>Drawstring Bag</t>
  </si>
  <si>
    <t>45*36</t>
  </si>
  <si>
    <t>【定制】隔层束口袋【游戏】【45*36】【真空包装】</t>
  </si>
  <si>
    <t>【10pcs】汽车香薰出风口夹（带夹子） 【备注：5种颜色各2个装一袋】</t>
  </si>
  <si>
    <t>新品热销，价格优势！英德市场量都大</t>
  </si>
  <si>
    <t>英德都能卖</t>
  </si>
  <si>
    <t>https://www.amazon.co.uk/Long-Lasting-Eliminator-Accessories-Decorations-Fresheners/dp/B0GQXJ9LS4</t>
  </si>
  <si>
    <t>https://www.amazon.co.uk/Freshener-Adjustable-Strength-Fragrance-Diffuser/dp/B0GTQS5JGC</t>
  </si>
  <si>
    <t>https://www.amazon.de/dp/B0F2J17MX8/ref=mweb_up_am_fl_st_na_un_lk_sm_web?th=1</t>
  </si>
  <si>
    <t>https://detail.1688.com/offer/1050059317572.html?spm=a26352.b28411319/2508.0.0</t>
  </si>
  <si>
    <t>义乌市益洁日用品有限公司</t>
  </si>
  <si>
    <t>【8pcs】小雏菊汽车出风口夹-【小雏菊【浅蓝色】四件套*2】【备注：小花蓝色4个尺寸各2装一袋，夹子8个一袋】</t>
  </si>
  <si>
    <t>新品，流量高峰期，很有性价比</t>
  </si>
  <si>
    <t>https://www.amazon.co.uk/Sorcristy-Flower-Freshener-Interior-Accessories/dp/B0GQ4CRJ75?th=1</t>
  </si>
  <si>
    <t>https://www.amazon.de/dp/B0FHW62KNB/ref=mweb_up_am_fl_st_na_un_lk_sm_web</t>
  </si>
  <si>
    <t>小花https://detail.1688.com/offer/1041267571165.html?spm=a26352.b28411319/2508.0.0 夹子https://detail.1688.com/offer/1045990733081.html?spm=a21i7k.1688_web_im.chatboxOD.0</t>
  </si>
  <si>
    <t>义乌市磊亿饰品有限公司</t>
  </si>
  <si>
    <t>【8pcs】小雏菊汽车出风口夹-【小雏菊【白色】+【粉色】四件套】【备注：小花白色+粉色 4个尺寸各1装一袋，夹子8个一袋】</t>
  </si>
  <si>
    <t>余江燕</t>
  </si>
  <si>
    <t>变体</t>
  </si>
  <si>
    <t>【定制】手工小狗玩偶礼物【你太棒啦】 【备注：拿图找供应商定制这款】</t>
  </si>
  <si>
    <t>好品，定制款，设计的卡片内容</t>
  </si>
  <si>
    <t>https://www.amazon.co.uk/dp/B0GRQP7DDY/ref=mweb_up_am_fl_st_na_un_up_sm_web?th=1</t>
  </si>
  <si>
    <t>https://www.amazon.de/dp/B0GL3BS1NV/ref=mweb_up_am_fl_st_na_un_lk_sm_web?th=1</t>
  </si>
  <si>
    <t>https://www.amazon.co.uk/dp/B0GFCHVT68/ref=mweb_up_am_fl_st_na_un_lk_sm_web?th=1</t>
  </si>
  <si>
    <t>https://detail.1688.com/offer/1049645361832.html?spm=a21i7k.1688_web_im.chatboxOD.0</t>
  </si>
  <si>
    <t>编织</t>
  </si>
  <si>
    <t>玩偶</t>
  </si>
  <si>
    <t>doll</t>
  </si>
  <si>
    <t>【50pcs】3D打印海洋动物小摆件不重复 【备注：这50款装一袋，加1.5元/包打包费】</t>
  </si>
  <si>
    <t>供应商新品，都是自己的链接</t>
  </si>
  <si>
    <t>https://www.amazon.co.uk/dp/B0GS1N32J9</t>
  </si>
  <si>
    <t>https://www.amazon.co.uk/dp/B0G1X8PR5V?th=1</t>
  </si>
  <si>
    <t>https://detail.1688.com/offer/1053464155177.html?spm=a260k.new-close.history.doffer.3ba727d4cv1LZA</t>
  </si>
  <si>
    <t>义乌市三汐澜文化创意有限公司</t>
  </si>
  <si>
    <t>树脂</t>
  </si>
  <si>
    <t>摆件</t>
  </si>
  <si>
    <t>【定制】大号粉色化妆包-【高地牛】</t>
  </si>
  <si>
    <t>都是自己的链接</t>
  </si>
  <si>
    <t>https://www.amazon.co.uk/dp/B0GJS11MV8?th=1</t>
  </si>
  <si>
    <t>https://www.amazon.co.uk/dp/B0GS4QG35N</t>
  </si>
  <si>
    <t>https://detail.1688.com/offer/798971354965.html?spm=a26352.13672862.offerlist.256.47a91e62n0PJLe&amp;offerId=798971354965&amp;sortType=&amp;pageId=&amp;abBizDataType=cbuOffer&amp;hotSaleSku</t>
  </si>
  <si>
    <t>义乌市馨蕴箱包有限公司</t>
  </si>
  <si>
    <t>皮质</t>
  </si>
  <si>
    <t>化妆包</t>
  </si>
  <si>
    <t>Cosmetic bag</t>
  </si>
  <si>
    <t>【5pcs】海洋系列口袋拥抱卡片【备注：这5款装一包】</t>
  </si>
  <si>
    <t>供应商新品</t>
  </si>
  <si>
    <t>https://www.amazon.co.uk/dp/B0GSR1RB9C</t>
  </si>
  <si>
    <t>https://www.amazon.co.uk/dp/B0GWQ9ZCY1/ref=mweb_up_am_fl_st_na_un_up_sm_web?th=1</t>
  </si>
  <si>
    <t>https://detail.1688.com/offer/1056490256153.html?spm=a260k.new-close.history.doffer.3ba727d417lNCh</t>
  </si>
  <si>
    <t>义乌市菱伊饰品有限公司</t>
  </si>
  <si>
    <t>card</t>
  </si>
  <si>
    <t>蝴蝶结十字项链贺卡礼物-【Friend卡片+蝴蝶结十字项链】</t>
  </si>
  <si>
    <t>供应商新品，相比竞品价格优势明显</t>
  </si>
  <si>
    <t>https://www.amazon.co.uk/dp/B0GHY4BD7D/ref=mweb_up_am_fl_st_na_un_up_sm_web</t>
  </si>
  <si>
    <t>https://www.amazon.co.uk/dp/B0GTZGPZQR/ref=mweb_up_am_fl_st_na_un_up_sm_web</t>
  </si>
  <si>
    <t>https://detail.1688.com/offer/1055287281903.html?spm=a260k.new-close.history.doffer.3ba727d417lNCh</t>
  </si>
  <si>
    <t>义乌市秋涵饰品有限公司</t>
  </si>
  <si>
    <t>Necklaces</t>
  </si>
  <si>
    <t>蝴蝶结十字项链贺卡礼物-【生日卡片+蝴蝶结十字项链】</t>
  </si>
  <si>
    <t>【108pcs】丛林主题气球套装【备注：改价17元/套】</t>
  </si>
  <si>
    <t>供应商新品，数量丰富，价格合适</t>
  </si>
  <si>
    <t>https://www.amazon.co.uk/dp/B0FX41MMV3/ref=mweb_up_am_fl_st_na_un_up_sm_web?th=1</t>
  </si>
  <si>
    <t>https://www.amazon.co.uk/dp/B0GCCDR9FS/ref=mweb_up_am_fl_st_na_un_up_sm_web?th=1</t>
  </si>
  <si>
    <t>https://detail.1688.com/offer/1056025449588.html?spm=a260k.new-close.today.doffer.3ba727d4aNWULI</t>
  </si>
  <si>
    <t>义乌市晓湃电子商务商行</t>
  </si>
  <si>
    <t>铝膜</t>
  </si>
  <si>
    <t>气球</t>
  </si>
  <si>
    <t>Balloons</t>
  </si>
  <si>
    <t>【2pcs】恐龙自行车铃铛【绿色+黄色】【备注：绿色+黄色各1装一包】</t>
  </si>
  <si>
    <t>好品，英德都好卖</t>
  </si>
  <si>
    <t>https://www.amazon.co.uk/dp/B0GH6VKDKX/ref=mweb_up_am_fl_st_na_un_up_sm_web</t>
  </si>
  <si>
    <t>https://www.amazon.co.uk/dp/B0GXB2WF8V/ref=mweb_up_am_fl_st_na_un_up_sm_web</t>
  </si>
  <si>
    <t>https://www.amazon.co.uk/stylesnap?q=https%3A%2F%2Fm.media-amazon.com%2Fimages%2FI%2F61bkiwMQBUL._AC_SL1500_.jpg</t>
  </si>
  <si>
    <t>https://detail.1688.com/offer/945021163747.html?spm=a26352.b28411319/2508.0.0</t>
  </si>
  <si>
    <t>诸暨市涵星玩具店</t>
  </si>
  <si>
    <t>铃铛</t>
  </si>
  <si>
    <t>Bell</t>
  </si>
  <si>
    <t>【2pcs】恐龙自行车铃铛【蓝色+绿色】【备注：蓝色+绿色各1装一包】</t>
  </si>
  <si>
    <t>https://www.amazon.co.uk/dp/B0GXZFD8XN/ref=mweb_up_am_fl_st_na_un_up_sm_web?th=1</t>
  </si>
  <si>
    <t>https://www.amazon.de/dp/B0GLP5WHXF/ref=mweb_up_am_fl_st_na_un_lk_sm_web?th=1</t>
  </si>
  <si>
    <t>https://detail.1688.com/offer/946270004337.html?spm=a26352.b28411319/2508.0.0</t>
  </si>
  <si>
    <t>【2pcs】【定制】亚克力地插【知更鸟】【20cm 两根插】</t>
  </si>
  <si>
    <t>https://www.amazon.co.uk/dp/B0GYX43ZQQ</t>
  </si>
  <si>
    <t>https://www.amazon.co.uk/dp/B0GYWGLFCB</t>
  </si>
  <si>
    <t>20cm</t>
  </si>
  <si>
    <t>【2pc】不锈钢宠物橡胶头喂食套装【砂光 27CM 弯夹(黑色胶头)】【黑色夹子】</t>
  </si>
  <si>
    <t>张子轩</t>
  </si>
  <si>
    <t>性价比高，价格便宜，有市场，fbm存在出单</t>
  </si>
  <si>
    <t>https://www.amazon.co.uk/dp/B0FH6GYTJP/ref=mweb_up_am_fl_st_na_un_up_sm_web</t>
  </si>
  <si>
    <t>https://www.amazon.co.uk/dp/B0CT7VP1YL/ref=mweb_up_am_fl_st_na_un_up_sm_web?th=1</t>
  </si>
  <si>
    <t>https://www.amazon.co.uk/stylesnap?q=https%3A%2F%2Fm.media-amazon.com%2Fimages%2FI%2F41Zgvy2TZ5L.jpg</t>
  </si>
  <si>
    <t>https://detail.1688.com/offer/746002238261.html  https://detail.1688.com/offer/1038805482906.html</t>
  </si>
  <si>
    <t>汕头市澄海区丽达隆玩具厂</t>
  </si>
  <si>
    <t>镊子</t>
  </si>
  <si>
    <t>tweezers</t>
  </si>
  <si>
    <t>不锈钢宠物橡胶头喂食镊子【砂光 27CM 弯夹(黑色胶头)】</t>
  </si>
  <si>
    <t>https://detail.1688.com/offer/1038805482906.html</t>
  </si>
  <si>
    <t>潮州市潮安区彩塘镇创粤不锈钢制品厂</t>
  </si>
  <si>
    <t>27*1</t>
  </si>
  <si>
    <t>不锈钢宠物夹【黑色夹子】</t>
  </si>
  <si>
    <t>https://detail.1688.com/offer/746002238261.html</t>
  </si>
  <si>
    <t>夹子</t>
  </si>
  <si>
    <t>clip</t>
  </si>
  <si>
    <t>19*7</t>
  </si>
  <si>
    <t>【40pc】欧式鲤鱼大物线组渔具配件40件套【草绿】</t>
  </si>
  <si>
    <t>新品热销，价格优势，成本低</t>
  </si>
  <si>
    <t>https://www.amazon.co.uk/dp/B0GJS716QK?psc=1</t>
  </si>
  <si>
    <t>https://detail.1688.com/offer/550083498444.html</t>
  </si>
  <si>
    <t>威海铭泓户外用品有限公司</t>
  </si>
  <si>
    <t>渔具</t>
  </si>
  <si>
    <t>fishing tackle</t>
  </si>
  <si>
    <t>【2pc】女巫雨丝帘【1*2米-绿色+粉色</t>
  </si>
  <si>
    <t>无竞品，速上，不构成侵权</t>
  </si>
  <si>
    <t>https://www.amazon.co.uk/stylesnap?q=https%3A%2F%2Fm.media-amazon.com%2Fimages%2FI%2F81Fox-dNFRL.jpg</t>
  </si>
  <si>
    <t>https://detail.1688.com/offer/910653782229.html</t>
  </si>
  <si>
    <t>义乌市小又供应链有限公司</t>
  </si>
  <si>
    <t>帘子</t>
  </si>
  <si>
    <t>blind</t>
  </si>
  <si>
    <t>100*200</t>
  </si>
  <si>
    <t>【12pc】女巫薯条盒</t>
  </si>
  <si>
    <t>https://www.amazon.co.uk/stylesnap?q=https%3A%2F%2Fm.media-amazon.com%2Fimages%2FI%2F81dXRXMnAYL.jpg</t>
  </si>
  <si>
    <t>https://detail.1688.com/offer/913869787083.html</t>
  </si>
  <si>
    <t>义乌市爱策日用品厂</t>
  </si>
  <si>
    <t>纸盒</t>
  </si>
  <si>
    <t>cardboard box</t>
  </si>
  <si>
    <t>17*10</t>
  </si>
  <si>
    <t>【8pc】腊肠狗圆珠笔1.0【75-82】</t>
  </si>
  <si>
    <t>供应商新款，且更多</t>
  </si>
  <si>
    <t>https://www.amazon.co.uk/dp/B0GS1RVBHM/ref=mweb_up_am_fl_st_na_un_up_sm_web?th=1</t>
  </si>
  <si>
    <t>https://detail.1688.com/offer/949826443227.html</t>
  </si>
  <si>
    <t>杭州泽生文具有限公司</t>
  </si>
  <si>
    <t>ballpoint pen</t>
  </si>
  <si>
    <t>13.5*1.3</t>
  </si>
  <si>
    <t>【7pc】马圆珠笔1.0【83，85，86，87，88，89，90】</t>
  </si>
  <si>
    <t>https://www.amazon.co.uk/dp/B0GS1S1Y66/ref=mweb_up_am_fl_st_na_un_up_sm_web?th=1</t>
  </si>
  <si>
    <t>13.5*13</t>
  </si>
  <si>
    <t>【2pc】网球计分器便携式得分弹力表带【白色+黑色】</t>
  </si>
  <si>
    <t>德国新品热销，英国fbm出单</t>
  </si>
  <si>
    <t>英德做</t>
  </si>
  <si>
    <t>https://www.amazon.de/-/en/Aurelx/dp/B0GV45HRPD</t>
  </si>
  <si>
    <t>https://www.amazon.co.uk/dp/B0GHJ3WDTR/ref=mweb_up_am_fl_st_na_un_up_sm_web</t>
  </si>
  <si>
    <t>https://detail.1688.com/offer/1047923875703.html</t>
  </si>
  <si>
    <t>无锡优乐优国际贸易有限公司</t>
  </si>
  <si>
    <t>表带</t>
  </si>
  <si>
    <t>watch strap</t>
  </si>
  <si>
    <t>30*4.5</t>
  </si>
  <si>
    <t>网球计分器便携式得分弹力表带【黑色】</t>
  </si>
  <si>
    <t>【43pc】森林动物冰箱贴【10森林动物冰箱贴-43片】【带磁】</t>
  </si>
  <si>
    <t>供应商低价，成本可控，价格优势</t>
  </si>
  <si>
    <t>https://www.amazon.co.uk/Toddlers-Refrigerator-Whiteboard-Educational-Preschool/dp/B0GVRFXL67</t>
  </si>
  <si>
    <t>https://detail.1688.com/offer/1029709685589.html</t>
  </si>
  <si>
    <t>广州雅球电子科技有限公司</t>
  </si>
  <si>
    <t>fridge magnet</t>
  </si>
  <si>
    <t>【64pc】卡通奇幻萌宠小龙贴纸</t>
  </si>
  <si>
    <t>供应商新款，速做，无竞品</t>
  </si>
  <si>
    <t>https://www.amazon.co.uk/dp/B0FNFV89PK/ref=mweb_up_am_fl_st_na_un_up_sm_web?th=1</t>
  </si>
  <si>
    <t>https://detail.1688.com/offer/1047066251731.html</t>
  </si>
  <si>
    <t>金华市嘉一文化创意有限公司</t>
  </si>
  <si>
    <t>5*5</t>
  </si>
  <si>
    <t>【50pc】美人鱼贴纸</t>
  </si>
  <si>
    <t>https://www.amazon.co.uk/stylesnap?q=https%3A%2F%2Fm.media-amazon.com%2Fimages%2FI%2F81fMQiEZCYL.jpg</t>
  </si>
  <si>
    <t>https://detail.1688.com/offer/842233349277.html</t>
  </si>
  <si>
    <t>青岛德向包装有限公司</t>
  </si>
  <si>
    <t>【定制】帆布袋-【甜甜圈】</t>
  </si>
  <si>
    <t>热销，图案小改，更具色彩呼应</t>
  </si>
  <si>
    <t>https://www.amazon.co.uk/dp/B0GKV6GRF2?psc=1</t>
  </si>
  <si>
    <t>https://www.amazon.co.uk/stylesnap?q=https%3A%2F%2Fm.media-amazon.com%2Fimages%2FI%2F71se8PzBKYL.jpg</t>
  </si>
  <si>
    <t>https://detail.1688.com/offer/977318249135.html</t>
  </si>
  <si>
    <t>布</t>
  </si>
  <si>
    <t>40*33</t>
  </si>
  <si>
    <t>沙滩毛巾【游戏机3-150*75cm】</t>
  </si>
  <si>
    <t>价格优势，利润高，夏季产品</t>
  </si>
  <si>
    <t>https://www.amazon.co.uk/dp/B0BMPSN47M/ref=mweb_up_am_fl_st_na_un_up_sm_web?th=1</t>
  </si>
  <si>
    <t>https://detail.1688.com/offer/856702363779.html</t>
  </si>
  <si>
    <t>义乌市佳乾服饰有限公司</t>
  </si>
  <si>
    <t>棉</t>
  </si>
  <si>
    <t>毛巾</t>
  </si>
  <si>
    <t>towel</t>
  </si>
  <si>
    <t>【定制】铁皮画-【森林女孩1】</t>
  </si>
  <si>
    <t>热销款，图案小改</t>
  </si>
  <si>
    <t>https://www.amazon.co.uk/dp/B0GFW8J6CD?psc=1</t>
  </si>
  <si>
    <t>https://www.amazon.co.uk/stylesnap?q=https%3A%2F%2Fm.media-amazon.com%2Fimages%2FI%2F71dtbYpWkLL.jpg</t>
  </si>
  <si>
    <t>https://detail.1688.com/offer/751795404525.html?spm</t>
  </si>
  <si>
    <t>福建省莆田市易佰饰品有限公司</t>
  </si>
  <si>
    <t>挂牌</t>
  </si>
  <si>
    <t>Name Tag</t>
  </si>
  <si>
    <t>【定制】铁皮画-【森林女孩2】</t>
  </si>
  <si>
    <t>【定制】铁皮画-【狗和花园1】</t>
  </si>
  <si>
    <t>该链接爆款，图案更温馨</t>
  </si>
  <si>
    <t>https://www.amazon.co.uk/dp/B0D6K8M9HY/ref=mweb_up_am_fl_st_na_un_up_sm_web?th=1</t>
  </si>
  <si>
    <t>https://www.amazon.co.uk/stylesnap?q=https%3A%2F%2Fm.media-amazon.com%2Fimages%2FI%2F71zr3CmPpIL._ACSX300_QL70_ML2_.jpg</t>
  </si>
  <si>
    <t>【定制】铁皮画-【狗和花园2】</t>
  </si>
  <si>
    <t>【4pc】瑜伽健身花边款袜子【花边粉心+花边红樱桃蝴蝶结+花边牛角包+花边字母淡蓝冰淇淋】</t>
  </si>
  <si>
    <t>该花边袜子热卖，做的供应商新款+旧款</t>
  </si>
  <si>
    <t>https://www.amazon.co.uk/dp/B0FN7Z6C9M?th=1</t>
  </si>
  <si>
    <t>https://www.amazon.co.uk/stylesnap?q=https%3A%2F%2Fm.media-amazon.com%2Fimages%2FI%2F61BUpvUBhML.jpg</t>
  </si>
  <si>
    <t>https://detail.1688.com/offer/1032820518195.html</t>
  </si>
  <si>
    <t>义乌市长鼻子象贸易有限公司</t>
  </si>
  <si>
    <t>袜子</t>
  </si>
  <si>
    <t>stockings</t>
  </si>
  <si>
    <t>18*10</t>
  </si>
  <si>
    <t>【3pc】彩绘幻想亚克力书签1</t>
  </si>
  <si>
    <t>供应商成本够低，利润高，热销</t>
  </si>
  <si>
    <t>https://www.amazon.co.uk/dp/B0FK4WF4DP?th=1</t>
  </si>
  <si>
    <t>https://detail.1688.com/offer/1043915147151.html</t>
  </si>
  <si>
    <t>义乌市荣凤工艺品有限公司</t>
  </si>
  <si>
    <t>书签</t>
  </si>
  <si>
    <t>bookmark</t>
  </si>
  <si>
    <t>15*2.5</t>
  </si>
  <si>
    <t>【3pc】彩绘幻想亚克力书签2 备注：找供应商发图片拿链接</t>
  </si>
  <si>
    <t>https://www.amazon.co.uk/dp/B0GHY5Q3NX/ref=mweb_up_am_fl_st_na_un_up_sm_web?th=1</t>
  </si>
  <si>
    <t>【2pc】Dad钩织高尔夫玩偶钥匙扣套装 备注：玩偶图片发供应商，无对应链接</t>
  </si>
  <si>
    <t>完美适配的组合，高尔夫热销新款</t>
  </si>
  <si>
    <t>https://www.amazon.co.uk/dp/B0GJ5W3VZT/ref=mweb_up_am_fl_st_na_un_up_sm_web</t>
  </si>
  <si>
    <t>https://detail.1688.com/offer/1025633467531.html</t>
  </si>
  <si>
    <t>义乌市绒言针织有限公司</t>
  </si>
  <si>
    <t>Doll</t>
  </si>
  <si>
    <t>Dad钩织高尔夫玩偶 备注：玩偶图片发供应商，无对应链接</t>
  </si>
  <si>
    <t>9*6</t>
  </si>
  <si>
    <t>高尔夫钥匙扣</t>
  </si>
  <si>
    <t>https://detail.1688.com/offer/951253427337.html</t>
  </si>
  <si>
    <t>义乌市遇渐铜饰品厂</t>
  </si>
  <si>
    <t>花园铁皮画【AAA00232】</t>
  </si>
  <si>
    <t>黄雨珊</t>
  </si>
  <si>
    <t>供应商新款，花园款销量好</t>
  </si>
  <si>
    <t>https://www.amazon.co.uk/dp/B0GK7ZPWFF/ref=mweb_up_am_fl_st_na_un_up_sm_web</t>
  </si>
  <si>
    <t>https://detail.1688.com/offer/915059188064.html?spm=a26352.b28411319/2508.0.0</t>
  </si>
  <si>
    <t>义乌市敦阜工艺品有限公司</t>
  </si>
  <si>
    <t>铁皮画</t>
  </si>
  <si>
    <t>Iron Sheet Painting</t>
  </si>
  <si>
    <t>【100pcs】薄纱蝴蝶装饰【4cm双层+双钻随机多款混】-供应商打包</t>
  </si>
  <si>
    <t>款式更丰富，高性价比，同价格多了40pcs</t>
  </si>
  <si>
    <t>英德都可</t>
  </si>
  <si>
    <t>https://www.amazon.co.uk/dp/B0GW88VGDC/ref=mweb_up_am_fl_st_na_un_up_sm_web</t>
  </si>
  <si>
    <t>https://www.amazon.co.uk/dp/B0GVCPP1XM?psc=1</t>
  </si>
  <si>
    <t>https://www.amazon.de/dp/B0GF1XMSV2/ref=mweb_up_am_fl_st_na_un_up_sm_web</t>
  </si>
  <si>
    <t>https://detail.1688.com/offer/801456617623.html?spm=a26352.b28411319/2508.0.0</t>
  </si>
  <si>
    <t xml:space="preserve">义乌市欧沭电子商务商行
</t>
  </si>
  <si>
    <t>装饰</t>
  </si>
  <si>
    <t>Ornament</t>
  </si>
  <si>
    <t>【3pcs】友谊首饰套装【五角星+卡片】【图片色】-仓库打包</t>
  </si>
  <si>
    <t>热销款式，两件装高性价比</t>
  </si>
  <si>
    <t>https://www.amazon.co.uk/dp/B0GSP8WPVD/ref=mweb_up_am_fl_st_na_un_up_sm_web</t>
  </si>
  <si>
    <t>https://www.amazon.co.uk/dp/B0GVW521ZL/ref=mweb_up_am_fl_st_na_un_up_sm_web</t>
  </si>
  <si>
    <t>https://detail.1688.com/offer/1048038705216.html?spm=a21i7k.1688_web_im.chatboxOD.0</t>
  </si>
  <si>
    <t>义乌市愉塘饰品厂</t>
  </si>
  <si>
    <t>【2pcs】友谊手链【五角星+卡片】</t>
  </si>
  <si>
    <t>项链【图片色】</t>
  </si>
  <si>
    <t>https://detail.1688.com/offer/855207662245.html?spm=a26352.b28411319/2508.0.0</t>
  </si>
  <si>
    <t>义乌市轩瑶贸易有限公司</t>
  </si>
  <si>
    <t>Necklace</t>
  </si>
  <si>
    <t>挂绳卡套【大樱桃套装】</t>
  </si>
  <si>
    <t>英德都可卖</t>
  </si>
  <si>
    <t>https://www.amazon.co.uk/dp/B0GTKBV5CS/ref=mweb_up_am_fl_st_na_un_up_sm_web</t>
  </si>
  <si>
    <t>https://www.amazon.co.uk/dp/B0GSTBN6ZT/ref=mweb_up_am_fl_st_na_un_up_sm_web</t>
  </si>
  <si>
    <t>https://www.amazon.de/dp/B0GT79KH9L/ref=mweb_up_am_fl_st_na_un_up_sm_web</t>
  </si>
  <si>
    <t>https://detail.1688.com/offer/1055022421299.html?spm=a2615.pc_new_goods/2506.wp_pc_new_product_list.0</t>
  </si>
  <si>
    <t>义乌市馨海文具厂</t>
  </si>
  <si>
    <t>卡套</t>
  </si>
  <si>
    <t>Card Holder</t>
  </si>
  <si>
    <t>【105cps】防水可爱贴纸-仓库打包</t>
  </si>
  <si>
    <t>新款销量好，搭配不同，数量不同</t>
  </si>
  <si>
    <t>https://www.amazon.co.uk/dp/B0GTVB18JW?psc=1</t>
  </si>
  <si>
    <t>https://www.amazon.co.uk/dp/B0FZKLXHDG/ref=mweb_up_am_fl_st_na_un_up_sm_web</t>
  </si>
  <si>
    <t>https://detail.1688.com/offer/1036435899866.html?spm=a26352.b28411319/2508.0.0</t>
  </si>
  <si>
    <t xml:space="preserve">金华市亿森文化创意有限公司
</t>
  </si>
  <si>
    <t>【55cps】防水可爱贴纸</t>
  </si>
  <si>
    <t>【50cps】防水可爱贴纸</t>
  </si>
  <si>
    <t>https://detail.1688.com/offer/651961583845.html?_t=1779962169104&amp;spm=a2615.7691456/2506.co_0_0_wangpu_score_0_0_0_0_1_0_0000_0.0</t>
  </si>
  <si>
    <t>【90】励志卡片</t>
  </si>
  <si>
    <t>供应商新款，多了30pcs</t>
  </si>
  <si>
    <t>https://www.amazon.co.uk/dp/B0FXDXTYDF/ref=mweb_up_am_fl_st_na_un_up_sm_web</t>
  </si>
  <si>
    <t>https://detail.1688.com/offer/1041123253340.html?spm=a26352.b28411319/2508.0.0&amp;cosite=-&amp;tracelog=p4p&amp;_p_isad=1&amp;clickid=17d4a5c876324624905a290c1c843a00&amp;sessionid=2f74c9572f5e45718875c5401e6b149e</t>
  </si>
  <si>
    <t>青岛沃图包装有限公司</t>
  </si>
  <si>
    <t>Card</t>
  </si>
  <si>
    <t>理实德国产品对接表-06.02</t>
  </si>
  <si>
    <t>开发理由</t>
  </si>
  <si>
    <r>
      <rPr>
        <b/>
        <sz val="12"/>
        <color rgb="FFFF0000"/>
        <rFont val="Calibri"/>
        <charset val="134"/>
      </rPr>
      <t xml:space="preserve">VAT
</t>
    </r>
    <r>
      <rPr>
        <b/>
        <sz val="12"/>
        <color rgb="FFFF0000"/>
        <rFont val="宋体"/>
        <charset val="134"/>
      </rPr>
      <t>税率</t>
    </r>
  </si>
  <si>
    <r>
      <rPr>
        <b/>
        <sz val="12"/>
        <rFont val="宋体"/>
        <charset val="134"/>
      </rPr>
      <t>长</t>
    </r>
    <r>
      <rPr>
        <b/>
        <sz val="12"/>
        <rFont val="Calibri"/>
        <charset val="134"/>
      </rPr>
      <t>cm</t>
    </r>
  </si>
  <si>
    <r>
      <rPr>
        <b/>
        <sz val="12"/>
        <rFont val="宋体"/>
        <charset val="134"/>
      </rPr>
      <t>宽</t>
    </r>
    <r>
      <rPr>
        <b/>
        <sz val="12"/>
        <rFont val="Calibri"/>
        <charset val="134"/>
      </rPr>
      <t>cm</t>
    </r>
  </si>
  <si>
    <r>
      <rPr>
        <b/>
        <sz val="12"/>
        <rFont val="宋体"/>
        <charset val="134"/>
      </rPr>
      <t>高</t>
    </r>
    <r>
      <rPr>
        <b/>
        <sz val="12"/>
        <rFont val="Calibri"/>
        <charset val="134"/>
      </rPr>
      <t>cm</t>
    </r>
  </si>
  <si>
    <r>
      <rPr>
        <b/>
        <sz val="12"/>
        <rFont val="Calibri"/>
        <charset val="134"/>
      </rPr>
      <t>/6000</t>
    </r>
    <r>
      <rPr>
        <b/>
        <sz val="12"/>
        <rFont val="宋体"/>
        <charset val="134"/>
      </rPr>
      <t>体积重</t>
    </r>
    <r>
      <rPr>
        <b/>
        <sz val="12"/>
        <rFont val="Calibri"/>
        <charset val="134"/>
      </rPr>
      <t>(kg</t>
    </r>
    <r>
      <rPr>
        <b/>
        <sz val="12"/>
        <rFont val="宋体"/>
        <charset val="134"/>
      </rPr>
      <t>）</t>
    </r>
  </si>
  <si>
    <r>
      <rPr>
        <b/>
        <sz val="12"/>
        <rFont val="宋体"/>
        <charset val="134"/>
      </rPr>
      <t>毛重（</t>
    </r>
    <r>
      <rPr>
        <b/>
        <sz val="12"/>
        <rFont val="Calibri"/>
        <charset val="134"/>
      </rPr>
      <t>kg</t>
    </r>
    <r>
      <rPr>
        <b/>
        <sz val="12"/>
        <rFont val="宋体"/>
        <charset val="134"/>
      </rPr>
      <t>）</t>
    </r>
  </si>
  <si>
    <r>
      <rPr>
        <b/>
        <sz val="12"/>
        <rFont val="宋体"/>
        <charset val="134"/>
      </rPr>
      <t>空运头程</t>
    </r>
    <r>
      <rPr>
        <b/>
        <sz val="12"/>
        <rFont val="Calibri"/>
        <charset val="134"/>
      </rPr>
      <t xml:space="preserve">
</t>
    </r>
    <r>
      <rPr>
        <b/>
        <sz val="12"/>
        <rFont val="宋体"/>
        <charset val="134"/>
      </rPr>
      <t>报价</t>
    </r>
  </si>
  <si>
    <r>
      <rPr>
        <b/>
        <sz val="12"/>
        <rFont val="宋体"/>
        <charset val="134"/>
      </rPr>
      <t>海运头程</t>
    </r>
    <r>
      <rPr>
        <b/>
        <sz val="12"/>
        <rFont val="Calibri"/>
        <charset val="134"/>
      </rPr>
      <t xml:space="preserve">
</t>
    </r>
    <r>
      <rPr>
        <b/>
        <sz val="12"/>
        <rFont val="宋体"/>
        <charset val="134"/>
      </rPr>
      <t>报价</t>
    </r>
  </si>
  <si>
    <r>
      <rPr>
        <b/>
        <sz val="12"/>
        <color rgb="FFFF0000"/>
        <rFont val="Calibri"/>
        <charset val="134"/>
      </rPr>
      <t>VAT</t>
    </r>
    <r>
      <rPr>
        <b/>
        <sz val="12"/>
        <color rgb="FFFF0000"/>
        <rFont val="宋体"/>
        <charset val="134"/>
      </rPr>
      <t>税费</t>
    </r>
    <r>
      <rPr>
        <b/>
        <sz val="12"/>
        <color rgb="FFFF0000"/>
        <rFont val="Calibri"/>
        <charset val="134"/>
      </rPr>
      <t xml:space="preserve">
$</t>
    </r>
  </si>
  <si>
    <r>
      <rPr>
        <b/>
        <sz val="12"/>
        <rFont val="宋体"/>
        <charset val="134"/>
      </rPr>
      <t>退款费</t>
    </r>
    <r>
      <rPr>
        <b/>
        <sz val="12"/>
        <rFont val="Calibri"/>
        <charset val="134"/>
      </rPr>
      <t xml:space="preserve">
$</t>
    </r>
  </si>
  <si>
    <t>海关编码</t>
  </si>
  <si>
    <t>链接1</t>
  </si>
  <si>
    <t>链接2</t>
  </si>
  <si>
    <t>链接3</t>
  </si>
  <si>
    <r>
      <rPr>
        <b/>
        <sz val="12"/>
        <rFont val="宋体"/>
        <charset val="134"/>
      </rPr>
      <t>利润</t>
    </r>
    <r>
      <rPr>
        <b/>
        <sz val="12"/>
        <rFont val="Calibri"/>
        <charset val="134"/>
      </rPr>
      <t xml:space="preserve">
$</t>
    </r>
  </si>
  <si>
    <r>
      <rPr>
        <b/>
        <sz val="12"/>
        <rFont val="宋体"/>
        <charset val="134"/>
      </rPr>
      <t>利润</t>
    </r>
    <r>
      <rPr>
        <b/>
        <sz val="12"/>
        <rFont val="Calibri"/>
        <charset val="134"/>
      </rPr>
      <t xml:space="preserve">
¥</t>
    </r>
  </si>
  <si>
    <r>
      <rPr>
        <b/>
        <sz val="12"/>
        <rFont val="宋体"/>
        <charset val="134"/>
      </rPr>
      <t>利润率</t>
    </r>
    <r>
      <rPr>
        <b/>
        <sz val="12"/>
        <rFont val="Calibri"/>
        <charset val="134"/>
      </rPr>
      <t xml:space="preserve">
%</t>
    </r>
  </si>
  <si>
    <r>
      <rPr>
        <b/>
        <sz val="12"/>
        <rFont val="宋体"/>
        <charset val="134"/>
      </rPr>
      <t>产品成本</t>
    </r>
    <r>
      <rPr>
        <b/>
        <sz val="12"/>
        <rFont val="Calibri"/>
        <charset val="134"/>
      </rPr>
      <t xml:space="preserve">
¥</t>
    </r>
  </si>
  <si>
    <r>
      <rPr>
        <b/>
        <sz val="12"/>
        <rFont val="宋体"/>
        <charset val="134"/>
      </rPr>
      <t>产品成本</t>
    </r>
    <r>
      <rPr>
        <b/>
        <sz val="12"/>
        <rFont val="Calibri"/>
        <charset val="134"/>
      </rPr>
      <t xml:space="preserve">
$</t>
    </r>
  </si>
  <si>
    <r>
      <rPr>
        <b/>
        <sz val="12"/>
        <rFont val="宋体"/>
        <charset val="134"/>
      </rPr>
      <t>头程成本</t>
    </r>
    <r>
      <rPr>
        <b/>
        <sz val="12"/>
        <rFont val="Calibri"/>
        <charset val="134"/>
      </rPr>
      <t xml:space="preserve">
¥</t>
    </r>
  </si>
  <si>
    <r>
      <rPr>
        <b/>
        <sz val="12"/>
        <rFont val="宋体"/>
        <charset val="134"/>
      </rPr>
      <t>头程成本</t>
    </r>
    <r>
      <rPr>
        <b/>
        <sz val="12"/>
        <rFont val="Calibri"/>
        <charset val="134"/>
      </rPr>
      <t xml:space="preserve">
$</t>
    </r>
  </si>
  <si>
    <r>
      <rPr>
        <b/>
        <sz val="12"/>
        <rFont val="宋体"/>
        <charset val="134"/>
      </rPr>
      <t>销售佣金</t>
    </r>
    <r>
      <rPr>
        <b/>
        <sz val="12"/>
        <rFont val="Calibri"/>
        <charset val="134"/>
      </rPr>
      <t xml:space="preserve">
$</t>
    </r>
  </si>
  <si>
    <r>
      <rPr>
        <b/>
        <sz val="12"/>
        <rFont val="Calibri"/>
        <charset val="134"/>
      </rPr>
      <t>FBA</t>
    </r>
    <r>
      <rPr>
        <b/>
        <sz val="12"/>
        <rFont val="宋体"/>
        <charset val="134"/>
      </rPr>
      <t>配送费</t>
    </r>
    <r>
      <rPr>
        <b/>
        <sz val="12"/>
        <rFont val="Calibri"/>
        <charset val="134"/>
      </rPr>
      <t xml:space="preserve">
$</t>
    </r>
  </si>
  <si>
    <r>
      <rPr>
        <b/>
        <sz val="12"/>
        <rFont val="宋体"/>
        <charset val="134"/>
      </rPr>
      <t>广告费</t>
    </r>
    <r>
      <rPr>
        <b/>
        <sz val="12"/>
        <rFont val="Calibri"/>
        <charset val="134"/>
      </rPr>
      <t xml:space="preserve">
$</t>
    </r>
  </si>
  <si>
    <r>
      <rPr>
        <b/>
        <sz val="12"/>
        <rFont val="宋体"/>
        <charset val="134"/>
      </rPr>
      <t>促销费</t>
    </r>
    <r>
      <rPr>
        <b/>
        <sz val="12"/>
        <rFont val="Calibri"/>
        <charset val="134"/>
      </rPr>
      <t xml:space="preserve">
$</t>
    </r>
  </si>
  <si>
    <r>
      <rPr>
        <b/>
        <sz val="12"/>
        <rFont val="宋体"/>
        <charset val="134"/>
      </rPr>
      <t>站外费</t>
    </r>
    <r>
      <rPr>
        <b/>
        <sz val="12"/>
        <rFont val="Calibri"/>
        <charset val="134"/>
      </rPr>
      <t xml:space="preserve">
$</t>
    </r>
  </si>
  <si>
    <t>【22pcs】北美黑胡桃车载出风口夹（2个夹子+20根挥发棒）</t>
  </si>
  <si>
    <t>德国表现不错</t>
  </si>
  <si>
    <t>https://www.amazon.de/dp/B0GR93KYK5</t>
  </si>
  <si>
    <t>https://www.amazon.de/shopthelook?q=https%3A%2F%2Fm.media-amazon.com%2Fimages%2FI%2F618Gwvk0qcL._ACPIbundle-2%2CTopRight%2C0%2C0_SH20_.jpg</t>
  </si>
  <si>
    <t>DE</t>
  </si>
  <si>
    <t>https://detail.1688.com/offer/960458601653.html</t>
  </si>
  <si>
    <t>龙门县龙潭镇木艺轩竹木制品厂</t>
  </si>
  <si>
    <t>香薰夹</t>
  </si>
  <si>
    <t>Aromatherapy clips</t>
  </si>
  <si>
    <t>【定制】挂牌-20*20cm-猫头鹰款2</t>
  </si>
  <si>
    <t>英国热卖款</t>
  </si>
  <si>
    <t>https://www.amazon.co.uk/stylesnap?q=https%3A%2F%2Fm.media-amazon.com%2Fimages%2FI%2F817clLUHR-L.jpg</t>
  </si>
  <si>
    <t>https://www.amazon.de/shopthelook?q=https%3A%2F%2Fm.media-amazon.com%2Fimages%2FI%2F817clLUHR-L._SL400_.jpg</t>
  </si>
  <si>
    <t>【定制】挂牌-20*20cm-蓝色猫头鹰</t>
  </si>
  <si>
    <t>https://detail.1688.com/offer/895790509087.html?_t=1765423106932&amp;spm</t>
  </si>
  <si>
    <t>【定制】挂牌-20*20cm-蝴蝶款2</t>
  </si>
  <si>
    <t>https://www.amazon.de/-/en/Catcher-Decoration-Housewarming-Birthday-Monstera/dp/B0GHQ5PS9V</t>
  </si>
  <si>
    <t>https://www.amazon.de/stylesnap?q=https%3A%2F%2Fm.media-amazon.com%2Fimages%2FI%2F816PBCIwN6L.jpg</t>
  </si>
  <si>
    <t>【定制】挂牌-20*20cm-紫花</t>
  </si>
  <si>
    <t>https://www.amazon.de/dp/B0GDXXFN17/ref=mweb_up_am_fl_st_na_un_up_sm_web?th=1</t>
  </si>
  <si>
    <t>https://www.amazon.co.uk/dp/B0G8YM36C6</t>
  </si>
  <si>
    <t>https://www.amazon.de/dp/B0GGGY189B/ref=mweb_up_am_fl_st_na_un_up_sm_web?th=1</t>
  </si>
  <si>
    <t>https://detail.1688.com/offer/925692413717.html</t>
  </si>
  <si>
    <t>义乌市漠舟工艺品有限公司</t>
  </si>
  <si>
    <t>【定制】挂牌-20*20cm-睡觉狐狸</t>
  </si>
  <si>
    <t>https://www.amazon.de/shopthelook?q=https%3A%2F%2Fm.media-amazon.com%2Fimages%2FI%2F71TKs9DNGKL._AC.jpg</t>
  </si>
  <si>
    <t>https://www.amazon.co.uk/dp/B0G8YQHMZD</t>
  </si>
  <si>
    <t>https://www.amazon.de/dp/B0FW562139/ref=mweb_up_am_fl_st_na_un_up_sm_web?th=1</t>
  </si>
  <si>
    <t>【定制】挂牌-20*20cm-生命之树</t>
  </si>
  <si>
    <t>https://www.amazon.de/shopthelook?q=https%3A%2F%2Fm.media-amazon.com%2Fimages%2FI%2F811diLETRBL._AC.jpg</t>
  </si>
  <si>
    <t>https://www.amazon.co.uk/dp/B0GHD4CYRG</t>
  </si>
  <si>
    <t>amazon.de/dp/B0GGB2SLXF/ref=mweb_up_am_fl_st_na_un_up_sm_web</t>
  </si>
  <si>
    <t>【定制】挂牌-20*20cm-圣母款</t>
  </si>
  <si>
    <t>https://www.amazon.de/-/en/Suncatcher-Stained-Acrylic-Decoration-Christian/dp/B0GTTN4CVY</t>
  </si>
  <si>
    <t>https://www.amazon.de/stylesnap?q=https%3A%2F%2Fm.media-amazon.com%2Fimages%2FI%2F81nMcpcvmZL.jpg</t>
  </si>
  <si>
    <t>汽车隐私遮挡帘-180*230cm</t>
  </si>
  <si>
    <t>英国热卖，德国都是自发货能出单</t>
  </si>
  <si>
    <t>https://www.amazon.co.uk/dp/B0FGXJLH2S</t>
  </si>
  <si>
    <t>https://www.amazon.de/shopthelook?q=https%3A%2F%2Fm.media-amazon.com%2Fimages%2FI%2F51l537PBoWL._AC.jpg</t>
  </si>
  <si>
    <t>https://www.amazon.co.uk/dp/B0FCSM7Q6M/ref=mweb_up_am_fl_st_na_un_up_sm_web</t>
  </si>
  <si>
    <t>https://detail.1688.com/offer/930099770771.html?spm</t>
  </si>
  <si>
    <t>义乌市森迪汽车用品有限公司</t>
  </si>
  <si>
    <t>遮挡帘</t>
  </si>
  <si>
    <t>Mount shade</t>
  </si>
  <si>
    <t>180*230</t>
  </si>
  <si>
    <t>【定制】挂牌-20*20cm-新天鹅堡</t>
  </si>
  <si>
    <t>新天鹅堡是德国著名地标景观</t>
  </si>
  <si>
    <t>https://www.amazon.de/shopthelook?q=https%3A%2F%2Fm.media-amazon.com%2Fimages%2FI%2F816MhTzrO4L._SL400_.jpg</t>
  </si>
  <si>
    <t>【4pcs】汽车排风夹【四款一包-LH-1358需备注两款+42+55】</t>
  </si>
  <si>
    <t>英国站卖的比较好，德国没有fba</t>
  </si>
  <si>
    <t>https://www.amazon.de/dp/B0FPLG6PXZ</t>
  </si>
  <si>
    <t>https://detail.1688.com/offer/994049268126.html?_t=1773731144509&amp;spm https://detail.1688.com/offer/991952083645.html?spm</t>
  </si>
  <si>
    <t>义乌市考克布电子商务商行</t>
  </si>
  <si>
    <t>【15pcs】67运动主题生日装饰【1拉旗+1拉花+1大插排+12小插排】【套装B去掉气球12.3一套】</t>
  </si>
  <si>
    <t>英国站卖的比较好，有价格优势</t>
  </si>
  <si>
    <t>https://www.amazon.co.uk/dp/B0GWQ6DKGS</t>
  </si>
  <si>
    <t>https://www.amazon.de/dp/B0GZYW5SNX</t>
  </si>
  <si>
    <t>https://www.amazon.de/shopthelook?q=https%3A%2F%2Fm.media-amazon.com%2Fimages%2FI%2F81G4gt9x2AL._AC_SL1500_.jpg</t>
  </si>
  <si>
    <t>https://detail.1688.com/offer/1019466895324.html?offerId=1019466895324&amp;hotSaleSkuId=6196800603920&amp;spm</t>
  </si>
  <si>
    <t>温州扬灵工艺品有限公司</t>
  </si>
  <si>
    <t>【10set】珍珠天使感谢礼</t>
  </si>
  <si>
    <t>https://www.amazon.de/dp/B0GCLXHQB9</t>
  </si>
  <si>
    <t>https://www.amazon.de/dp/B0F93QBQR2/ref=mweb_up_am_fl_st_na_un_up_sm_web?th=1</t>
  </si>
  <si>
    <t>https://www.amazon.de/stylesnap?q=https%3A%2F%2Fm.media-amazon.com%2Fimages%2FI%2F71Y0YcMIVHL.jpg</t>
  </si>
  <si>
    <t>https://detail.1688.com/offer/1053814113913.html?spm</t>
  </si>
  <si>
    <t>义乌市桦霖饰品有限公司</t>
  </si>
  <si>
    <t>【46pcs】67派对装饰【拉旗15+吊旋6+大插排1+小插排24】</t>
  </si>
  <si>
    <t>款式差异且有价格优势</t>
  </si>
  <si>
    <t>https://www.amazon.de/dp/B0GVRSFTDG</t>
  </si>
  <si>
    <t>https://www.amazon.de/dp/B0GHLJMLMW</t>
  </si>
  <si>
    <t>https://detail.1688.com/offer/1005077700096.html?spm</t>
  </si>
  <si>
    <t>【106pcs】积木二战人偶套装【EZ106二战套装8】</t>
  </si>
  <si>
    <t>英国站好卖的，价格也有优势</t>
  </si>
  <si>
    <t>https://www.amazon.de/dp/B0CYC9VVWV/ref=mweb_up_am_fl_st_na_un_up_sm_web</t>
  </si>
  <si>
    <t>https://www.amazon.de/stylesnap?q=https%3A%2F%2Fm.media-amazon.com%2Fimages%2FI%2F81dYEREyXXL.jpg</t>
  </si>
  <si>
    <t>https://detail.1688.com/offer/794146130402.html</t>
  </si>
  <si>
    <t>汕头市澄海区王子优品玩具厂</t>
  </si>
  <si>
    <t>积木</t>
  </si>
  <si>
    <t>Building Blocks</t>
  </si>
  <si>
    <t>【2pcs】头盔防雾太阳膜【款三厚胶深灰色防嗮防雾膜彩盒包装】</t>
  </si>
  <si>
    <t>https://www.amazon.de/dp/B0GXP1S94P?psc=1</t>
  </si>
  <si>
    <t>https://www.amazon.de/stylesnap?q=https%3A%2F%2Fm.media-amazon.com%2Fimages%2FI%2F51dnju0tkFL.jpg</t>
  </si>
  <si>
    <t>https://detail.1688.com/offer/650814800615.html</t>
  </si>
  <si>
    <t>深圳市森达电子有限公司</t>
  </si>
  <si>
    <t>PET</t>
  </si>
  <si>
    <t>防雨膜</t>
  </si>
  <si>
    <t>Anti-rain sticker for helmet lens</t>
  </si>
  <si>
    <t>27.2×8.8cm</t>
  </si>
  <si>
    <t>【30pcs】夜光气门嘴帽【【分体夜光超亮】每个颜色4个】</t>
  </si>
  <si>
    <t>https://www.amazon.de/dp/B0GWJ1TS1G?th=1</t>
  </si>
  <si>
    <t>https://www.amazon.de/stylesnap?q=https%3A%2F%2Fm.media-amazon.com%2Fimages%2FI%2F71T0EM7mEjL.jpg</t>
  </si>
  <si>
    <t>https://detail.1688.com/offer/853731980550.html</t>
  </si>
  <si>
    <t>义乌市广辉日用品有限公司</t>
  </si>
  <si>
    <t>气门帽</t>
  </si>
  <si>
    <t>tire valve cap</t>
  </si>
  <si>
    <t>汽车内饰板卡扣拆卸安装专用钳</t>
  </si>
  <si>
    <t>热卖，价格有优势</t>
  </si>
  <si>
    <t>https://www.amazon.de/dp/B0GSZ2RPB7?psc=1</t>
  </si>
  <si>
    <t>https://www.amazon.de/stylesnap?q=https%3A%2F%2Fm.media-amazon.com%2Fimages%2FI%2F61OgogJEyHL.jpg</t>
  </si>
  <si>
    <t>https://detail.1688.com/offer/1013870502642.html</t>
  </si>
  <si>
    <t>潍坊鑫易通汽车科技有限公司</t>
  </si>
  <si>
    <t>钢</t>
  </si>
  <si>
    <t>卡扣钳</t>
  </si>
  <si>
    <t>Retaining clip pliers</t>
  </si>
  <si>
    <t>【2pcs】高地牛硅胶冰格【粉】【灰】</t>
  </si>
  <si>
    <t>拓品，新颜色搭配</t>
  </si>
  <si>
    <t>https://www.amazon.de/dp/B0GRSWDVC8/ref=mweb_up_am_fl_st_na_un_up_sm_web</t>
  </si>
  <si>
    <t>https://www.amazon.de/dp/B0GVN56R7B/ref=mweb_up_am_fl_st_na_un_up_sm_web</t>
  </si>
  <si>
    <t>https://www.amazon.de/stylesnap?q=https%3A%2F%2Fm.media-amazon.com%2Fimages%2FI%2F61KpplbbRAL.jpg</t>
  </si>
  <si>
    <t>https://detail.1688.com/offer/1053856486823.html</t>
  </si>
  <si>
    <t>东莞市茂杰科技有限公司</t>
  </si>
  <si>
    <t>冰格</t>
  </si>
  <si>
    <t>Silicone ice cube tray</t>
  </si>
  <si>
    <t>15.6*12.5*2.5CM</t>
  </si>
  <si>
    <t>脚掌吸管【白色-黑字】</t>
  </si>
  <si>
    <t>https://www.amazon.de/dp/B0GY4GVVSC?th=1</t>
  </si>
  <si>
    <t>https://www.amazon.de/stylesnap?q=https%3A%2F%2Fm.media-amazon.com%2Fimages%2FI%2F51DT17vXyvL.jpg</t>
  </si>
  <si>
    <t>https://detail.1688.com/offer/1038354457892.html</t>
  </si>
  <si>
    <t>福建省德化中陆陶瓷有限公司</t>
  </si>
  <si>
    <t>吸管</t>
  </si>
  <si>
    <t>drinking straw</t>
  </si>
  <si>
    <t>脚掌吸管【白色-红字】</t>
  </si>
  <si>
    <t>【定制】【2pcs】超细纤维毛巾套装【伦敦】【备注：这两条装一袋，真空压缩】</t>
  </si>
  <si>
    <t>https://www.amazon.de/dp/B0GL6NK8MY/ref=mweb_up_am_fl_st_na_un_up_sm_web</t>
  </si>
  <si>
    <t>https://www.amazon.de/stylesnap?q=https%3A%2F%2Fm.media-amazon.com%2Fimages%2FI%2F81gPvB%2BgtrL.jpg</t>
  </si>
  <si>
    <t>https://detail.1688.com/offer/1036665273037.html?spm=a26352.b28411319/2508.0.0</t>
  </si>
  <si>
    <t>纤维</t>
  </si>
  <si>
    <t>【2set】不锈钢牵引钩家用壁挂钩【挂钩*2+螺钉*8】</t>
  </si>
  <si>
    <t>https://www.amazon.de/dp/B0FR8FK45S/ref</t>
  </si>
  <si>
    <t>https://www.amazon.de/stylesnap?q=https%3A%2F%2Fm.media-amazon.com%2Fimages%2FI%2F618wpArL7gL.jpg</t>
  </si>
  <si>
    <t>https://detail.1688.com/offer/942441215701.html</t>
  </si>
  <si>
    <t>无棣智博金属制品有限公司</t>
  </si>
  <si>
    <t>壁挂钩</t>
  </si>
  <si>
    <t>Metal wall hook</t>
  </si>
  <si>
    <t>【100pcs】海洋生物夜光小摆件</t>
  </si>
  <si>
    <t>https://www.amazon.de/-/en/Orsefeliy-Mini-Leuchtende-Harz-Tiere/dp/B0GY41GGTV/ref</t>
  </si>
  <si>
    <t>https://www.amazon.de/stylesnap?q=https%3A%2F%2Fm.media-amazon.com%2Fimages%2FI%2F713j2bv-iDL.jpg</t>
  </si>
  <si>
    <t>https://detail.1688.com/offer/984198626503.html</t>
  </si>
  <si>
    <t>义乌市遇霓玩具有限公司</t>
  </si>
  <si>
    <t>树脂摆件</t>
  </si>
  <si>
    <t>Polyresin figurine</t>
  </si>
  <si>
    <t>油脂收集器</t>
  </si>
  <si>
    <t>20套起批</t>
  </si>
  <si>
    <t>https://www.amazon.de/dp/B0DQJDCP8F/ref</t>
  </si>
  <si>
    <t>https://www.amazon.de/stylesnap?q=https%3A%2F%2Fm.media-amazon.com%2Fimages%2FI%2F51dukO7l8XL.jpg</t>
  </si>
  <si>
    <t>https://detail.1688.com/offer/840536554798.html?</t>
  </si>
  <si>
    <t>永康市瓦虎贸易有限公司</t>
  </si>
  <si>
    <t>油托盘</t>
  </si>
  <si>
    <t>oil drain pan</t>
  </si>
  <si>
    <t>3D打印机配件【H2D/H2S 银色散热器一体式喷嘴带两个硅胶套0.2mm】【带磁】</t>
  </si>
  <si>
    <t>3D打印配件市场很大</t>
  </si>
  <si>
    <t>https://www.amazon.de/dp/B0GYN2QKZW?th=1</t>
  </si>
  <si>
    <t>https://www.amazon.de/stylesnap?q=https%3A%2F%2Fm.media-amazon.com%2Fimages%2FI%2F61Sh44%2BlvDL.jpg</t>
  </si>
  <si>
    <t>https://detail.1688.com/offer/1049736361929.html?spm=a26352.b28411319/2508.0.0</t>
  </si>
  <si>
    <t>深圳市亿启三维科技有限公司</t>
  </si>
  <si>
    <t>3D打印机配件</t>
  </si>
  <si>
    <t>3D printer parts</t>
  </si>
  <si>
    <t>3D打印机配件【H2D/H2S 银色散热器一体式喷嘴带两个硅胶套0.4mm】【带磁】</t>
  </si>
  <si>
    <t>3D打印机配件【H2D/H2S 银色散热器一体式喷嘴带两个硅胶套0.6mm】【带磁】</t>
  </si>
  <si>
    <t>【4pcs】泳池魔鬼鱼漂浮玩具</t>
  </si>
  <si>
    <t>https://www.amazon.de/dp/B0GWHN5818?psc=1</t>
  </si>
  <si>
    <t>https://www.amazon.de/stylesnap?q=https%3A%2F%2Fm.media-amazon.com%2Fimages%2FI%2F61ezZZcH2wL.jpg</t>
  </si>
  <si>
    <t>https://detail.1688.com/offer/1042099764083.html</t>
  </si>
  <si>
    <t>汕头市宝智力贸易有限公司</t>
  </si>
  <si>
    <t>EVA</t>
  </si>
  <si>
    <t>漂浮玩具</t>
  </si>
  <si>
    <t>Pool float</t>
  </si>
  <si>
    <t>【12套】糖果罐颜色冰箱贴【带磁】</t>
  </si>
  <si>
    <t>https://www.amazon.de/dp/B0GRB3GCQC/ref=mweb_up_am_fl_st_na_un_up_sm_web?th=1</t>
  </si>
  <si>
    <t>https://www.amazon.de/stylesnap?q=https%3A%2F%2Fm.media-amazon.com%2Fimages%2FI%2F81f--gz3%2B3L.jpg</t>
  </si>
  <si>
    <t>【2pcs】可爱波浪照片框带钥匙扣卡套【卡套+弹簧绳+ins挂饰【粉星星铃铛款】＋卡套+弹簧绳+ins挂饰【白星星铃铛款】备注：下单请备注两款为一套打包并协商8.6一套】</t>
  </si>
  <si>
    <t>有价格优势</t>
  </si>
  <si>
    <t>https://www.amazon.de/dp/B0GQ3148TQ</t>
  </si>
  <si>
    <t>https://www.amazon.de/shopthelook?q=https%3A%2F%2Fm.media-amazon.com%2Fimages%2FI%2F81idmAEC0rL._AC.jpg</t>
  </si>
  <si>
    <t>https://detail.1688.com/offer/832689536027.html?spm</t>
  </si>
  <si>
    <t>义乌市熵昧电子商务商行</t>
  </si>
  <si>
    <t>ferrule</t>
  </si>
  <si>
    <t>【2pcs】可爱波浪照片框带钥匙扣卡套【卡套+弹簧绳+ins挂饰【黑星星铃铛款】＋卡套+弹簧绳+ins挂饰【白星星铃铛款】备注：下单请备注两款为一套打包并协商8.6一套】</t>
  </si>
  <si>
    <t>相机整蛊水枪【粉色】</t>
  </si>
  <si>
    <t>价格优势，竞品就一家，粉色销量最好，fbm都有销量，在英国也开始出单了</t>
  </si>
  <si>
    <t>https://www.amazon.de/dp/B0GWQ3WNH4/ref</t>
  </si>
  <si>
    <t>https://www.amazon.de/dp/B0GSYGP66X/ref</t>
  </si>
  <si>
    <t>https://www.amazon.de/shopthelook?q=https%3A%2F%2Fm.media-amazon.com%2Fimages%2FI%2F61VmWMvCMtL._ACSX300_QL70_ML2_.jpg</t>
  </si>
  <si>
    <t>https://detail.1688.com/offer/1040475039783.html?spm</t>
  </si>
  <si>
    <t>汕头市澄海区趣一悦玩具厂</t>
  </si>
  <si>
    <t>水枪</t>
  </si>
  <si>
    <t>Water Gun</t>
  </si>
  <si>
    <t>【定制】挂牌-猫头鹰2</t>
  </si>
  <si>
    <t>猫头鹰元素</t>
  </si>
  <si>
    <t>https://www.amazon.de/dp/B0GY3RCR8N</t>
  </si>
  <si>
    <t>【定制】手工小狗玩偶礼物【鼓励】 【备注：拿图找供应商定制这款】</t>
  </si>
  <si>
    <t>好品！原创文案，三款不同样式，通用型，都可以做！</t>
  </si>
  <si>
    <t>https://www.amazon.de/dp/B0GWF3QPGL/ref=mweb_up_am_fl_st_na_un_up_sm_web?th=1</t>
  </si>
  <si>
    <t>https://www.amazon.de/MOAZIFI-%EF%BB%BFHandgefertigter-Schutzdackel-Gl%C3%BCcksbringer-Motivationsgeschenke/dp/B0GRH1D2RV/ref</t>
  </si>
  <si>
    <t>https://www.amazon.de/stylesnap?q=https%3A%2F%2Fm.media-amazon.com%2Fimages%2FI%2F71w4BZn4maL.jpg</t>
  </si>
  <si>
    <t>【定制】手工小狗玩偶礼物【陪伴】【备注：拿图找供应商定制这款】</t>
  </si>
  <si>
    <t>【定制】手工小狗玩偶礼物【关怀】【备注：拿图找供应商定制这款】</t>
  </si>
  <si>
    <t>【定制】铁皮画【APEROL SPRITZ 1】【30*20cm】</t>
  </si>
  <si>
    <t>Aperol Spritz 元素爆卖</t>
  </si>
  <si>
    <t>英国也能卖</t>
  </si>
  <si>
    <t>https://www.amazon.de/-/en/Aperol-Spritz-Decoration-Cocktail-Kitchen/dp/B0GT3VP5Q5</t>
  </si>
  <si>
    <t>https://www.amazon.de/-/en/Aperol-Spritz-Decorative-Cocktail-Decoration/dp/B0FNRFKF47?th=1</t>
  </si>
  <si>
    <t>https://www.amazon.de/-/en/Aperol-Cocktail-Decoration-Counters-Kitchens/dp/B0FNN28M1P</t>
  </si>
  <si>
    <t>30*20</t>
  </si>
  <si>
    <t>【定制】铁皮画【APEROL SPRITZ 2】【30*20cm】</t>
  </si>
  <si>
    <t>【定制】铁皮画【APEROL SPRITZ 3】【30*20cm】</t>
  </si>
  <si>
    <t>【定制】铁皮画【APEROL SPRITZ 4】【30*20cm】</t>
  </si>
  <si>
    <t>【定制】化妆包【意大利】</t>
  </si>
  <si>
    <t>https://www.amazon.de/-/en/Fychuo-XSF-8873657-DE/dp/B0GLMSXNFK</t>
  </si>
  <si>
    <t>https://www.amazon.de/dp/B0GSDLX6YP/ref=mweb_up_am_fl_st_na_un_lk_sm_web</t>
  </si>
  <si>
    <t>https://www.amazon.de/stylesnap?q=https%3A%2F%2Fm.media-amazon.com%2Fimages%2FI%2F71846kIIUcL.jpg</t>
  </si>
  <si>
    <t>https://detail.1688.com/offer/713560551439.html?spm=a360q.8274423%2Fnew.goods.productname</t>
  </si>
  <si>
    <t>义乌市黔编电子商务商行</t>
  </si>
  <si>
    <t>22*13.5</t>
  </si>
  <si>
    <t>【定制】化妆包【土耳其】</t>
  </si>
  <si>
    <t>【定制】木质摆件【企鹅款 20cm】</t>
  </si>
  <si>
    <t>款式小改动，价格优势</t>
  </si>
  <si>
    <t>https://www.amazon.de/-/en/Fychuo-XSF-8823578-DE/dp/B0GT46G5GD</t>
  </si>
  <si>
    <t>https://www.amazon.de/dp/B0GQM1R7VY/ref=mweb_up_am_fl_st_na_un_lk_sm_web</t>
  </si>
  <si>
    <t>https://www.amazon.de/stylesnap?q=https%3A%2F%2Fm.media-amazon.com%2Fimages%2FI%2F71Wd33QnHAL.jpg</t>
  </si>
  <si>
    <t>https://detail.1688.com/offer/1051120981831.html</t>
  </si>
  <si>
    <t>【定制】木质摆件【高地牛款 20cm】</t>
  </si>
  <si>
    <t>https://www.amazon.de/dp/B0GT56B29Y/ref=mweb_up_am_fl_st_na_un_lk_sm_web</t>
  </si>
  <si>
    <t>https://www.amazon.de/dp/B0GRV8HRJY/ref=mweb_up_am_fl_st_na_un_lk_sm_web</t>
  </si>
  <si>
    <t>改款</t>
  </si>
  <si>
    <t>恐龙儿童自行车铃铛-【蓝色】</t>
  </si>
  <si>
    <t>好品，价格优势明显</t>
  </si>
  <si>
    <t>https://www.amazon.de/dp/B0GD1877ZX/ref=mweb_up_am_fl_st_na_un_lk_sm_web?th=1</t>
  </si>
  <si>
    <t>https://www.amazon.de/dp/B0GWSSMLPM/ref=mweb_up_am_fl_st_na_un_lk_sm_web</t>
  </si>
  <si>
    <t>【3pcs】恐龙自行车铃铛【蓝色+黄色+粉色】【备注：蓝色+黄色+粉色各1装一包】</t>
  </si>
  <si>
    <t>好品，分一杯羹，9.99也能卖</t>
  </si>
  <si>
    <t>【定制】书本收纳袋【第四翼龙】</t>
  </si>
  <si>
    <t>https://www.amazon.de/dp/B0GFJ6DP1M/ref=mweb_up_am_fl_st_na_un_lk_sm_web</t>
  </si>
  <si>
    <t>https://www.amazon.de/dp/B0GGF7LMC8/ref=mweb_up_am_fl_st_na_un_lk_sm_web</t>
  </si>
  <si>
    <t>https://detail.1688.com/offer/980859810009.html</t>
  </si>
  <si>
    <t>义乌市斯玄母婴用品有限公司</t>
  </si>
  <si>
    <t>收纳袋</t>
  </si>
  <si>
    <t>30*22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</si>
</sst>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_ "/>
    <numFmt numFmtId="178" formatCode="0.0_ "/>
  </numFmts>
  <fonts count="60">
    <font>
      <sz val="11"/>
      <color theme="1"/>
      <name val="宋体"/>
      <charset val="134"/>
      <scheme val="minor"/>
    </font>
    <font>
      <sz val="12"/>
      <color rgb="FF000000"/>
      <name val="宋体"/>
      <charset val="134"/>
    </font>
    <font>
      <b/>
      <sz val="11"/>
      <name val="宋体"/>
      <charset val="134"/>
      <scheme val="minor"/>
    </font>
    <font>
      <sz val="11"/>
      <name val="宋体"/>
      <charset val="134"/>
    </font>
    <font>
      <b/>
      <sz val="28"/>
      <color rgb="FF000000"/>
      <name val="宋体"/>
      <charset val="134"/>
    </font>
    <font>
      <b/>
      <sz val="18"/>
      <name val="宋体"/>
      <charset val="134"/>
      <scheme val="minor"/>
    </font>
    <font>
      <b/>
      <sz val="18"/>
      <name val="宋体"/>
      <charset val="134"/>
    </font>
    <font>
      <b/>
      <sz val="18"/>
      <name val="Calibri"/>
      <charset val="134"/>
    </font>
    <font>
      <b/>
      <sz val="14"/>
      <name val="宋体"/>
      <charset val="134"/>
      <scheme val="minor"/>
    </font>
    <font>
      <b/>
      <sz val="11"/>
      <name val="宋体"/>
      <charset val="134"/>
    </font>
    <font>
      <b/>
      <sz val="11"/>
      <name val="Calibri"/>
      <charset val="134"/>
    </font>
    <font>
      <sz val="18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18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sz val="11"/>
      <name val="Calibri"/>
      <charset val="134"/>
    </font>
    <font>
      <sz val="14"/>
      <color theme="1"/>
      <name val="宋体"/>
      <charset val="134"/>
      <scheme val="minor"/>
    </font>
    <font>
      <sz val="14"/>
      <color rgb="FF000000"/>
      <name val="宋体"/>
      <charset val="134"/>
    </font>
    <font>
      <sz val="11"/>
      <color rgb="FF000000"/>
      <name val="宋体"/>
      <charset val="134"/>
    </font>
    <font>
      <sz val="11"/>
      <name val="宋体"/>
      <charset val="134"/>
      <scheme val="minor"/>
    </font>
    <font>
      <b/>
      <sz val="28"/>
      <name val="宋体"/>
      <charset val="134"/>
      <scheme val="minor"/>
    </font>
    <font>
      <b/>
      <sz val="12"/>
      <name val="宋体"/>
      <charset val="134"/>
      <scheme val="minor"/>
    </font>
    <font>
      <sz val="11"/>
      <color rgb="FF000000"/>
      <name val="Calibri"/>
      <charset val="134"/>
    </font>
    <font>
      <sz val="18"/>
      <color rgb="FF000000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rgb="FF00B050"/>
      <name val="宋体"/>
      <charset val="134"/>
      <scheme val="minor"/>
    </font>
    <font>
      <sz val="12"/>
      <color rgb="FF222222"/>
      <name val="宋体"/>
      <charset val="134"/>
    </font>
    <font>
      <sz val="16"/>
      <color rgb="FF000000"/>
      <name val="宋体"/>
      <charset val="134"/>
      <scheme val="minor"/>
    </font>
    <font>
      <sz val="14"/>
      <color rgb="FF000000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sz val="16"/>
      <color rgb="FF000000"/>
      <name val="宋体"/>
      <charset val="134"/>
    </font>
    <font>
      <u/>
      <sz val="11"/>
      <color rgb="FF0000FF"/>
      <name val="宋体"/>
      <charset val="134"/>
    </font>
    <font>
      <u/>
      <sz val="11"/>
      <color rgb="FF800080"/>
      <name val="宋体"/>
      <charset val="134"/>
      <scheme val="minor"/>
    </font>
    <font>
      <sz val="14"/>
      <name val="Calibri"/>
      <charset val="134"/>
    </font>
    <font>
      <sz val="14"/>
      <color rgb="FF000000"/>
      <name val="Calibri"/>
      <charset val="134"/>
    </font>
    <font>
      <sz val="14"/>
      <color rgb="FF00B050"/>
      <name val="Calibri"/>
      <charset val="134"/>
    </font>
    <font>
      <u/>
      <sz val="14"/>
      <color rgb="FF0000FF"/>
      <name val="宋体"/>
      <charset val="134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2"/>
      <name val="宋体"/>
      <charset val="134"/>
    </font>
    <font>
      <b/>
      <sz val="12"/>
      <name val="Calibri"/>
      <charset val="134"/>
    </font>
    <font>
      <b/>
      <sz val="12"/>
      <color rgb="FFFF0000"/>
      <name val="Calibri"/>
      <charset val="134"/>
    </font>
    <font>
      <b/>
      <sz val="12"/>
      <color rgb="FFFF0000"/>
      <name val="宋体"/>
      <charset val="134"/>
    </font>
  </fonts>
  <fills count="4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0" fillId="9" borderId="13" applyNumberFormat="0" applyFont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14" applyNumberFormat="0" applyFill="0" applyAlignment="0" applyProtection="0">
      <alignment vertical="center"/>
    </xf>
    <xf numFmtId="0" fontId="43" fillId="0" borderId="14" applyNumberFormat="0" applyFill="0" applyAlignment="0" applyProtection="0">
      <alignment vertical="center"/>
    </xf>
    <xf numFmtId="0" fontId="44" fillId="0" borderId="15" applyNumberFormat="0" applyFill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0" borderId="16" applyNumberFormat="0" applyAlignment="0" applyProtection="0">
      <alignment vertical="center"/>
    </xf>
    <xf numFmtId="0" fontId="46" fillId="11" borderId="17" applyNumberFormat="0" applyAlignment="0" applyProtection="0">
      <alignment vertical="center"/>
    </xf>
    <xf numFmtId="0" fontId="47" fillId="11" borderId="16" applyNumberFormat="0" applyAlignment="0" applyProtection="0">
      <alignment vertical="center"/>
    </xf>
    <xf numFmtId="0" fontId="48" fillId="12" borderId="18" applyNumberFormat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50" fillId="0" borderId="20" applyNumberFormat="0" applyFill="0" applyAlignment="0" applyProtection="0">
      <alignment vertical="center"/>
    </xf>
    <xf numFmtId="0" fontId="51" fillId="13" borderId="0" applyNumberFormat="0" applyBorder="0" applyAlignment="0" applyProtection="0">
      <alignment vertical="center"/>
    </xf>
    <xf numFmtId="0" fontId="52" fillId="14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5" fillId="17" borderId="0" applyNumberFormat="0" applyBorder="0" applyAlignment="0" applyProtection="0">
      <alignment vertical="center"/>
    </xf>
    <xf numFmtId="0" fontId="55" fillId="18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20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4" fillId="23" borderId="0" applyNumberFormat="0" applyBorder="0" applyAlignment="0" applyProtection="0">
      <alignment vertical="center"/>
    </xf>
    <xf numFmtId="0" fontId="54" fillId="24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6" borderId="0" applyNumberFormat="0" applyBorder="0" applyAlignment="0" applyProtection="0">
      <alignment vertical="center"/>
    </xf>
    <xf numFmtId="0" fontId="54" fillId="27" borderId="0" applyNumberFormat="0" applyBorder="0" applyAlignment="0" applyProtection="0">
      <alignment vertical="center"/>
    </xf>
    <xf numFmtId="0" fontId="54" fillId="28" borderId="0" applyNumberFormat="0" applyBorder="0" applyAlignment="0" applyProtection="0">
      <alignment vertical="center"/>
    </xf>
    <xf numFmtId="0" fontId="55" fillId="29" borderId="0" applyNumberFormat="0" applyBorder="0" applyAlignment="0" applyProtection="0">
      <alignment vertical="center"/>
    </xf>
    <xf numFmtId="0" fontId="55" fillId="30" borderId="0" applyNumberFormat="0" applyBorder="0" applyAlignment="0" applyProtection="0">
      <alignment vertical="center"/>
    </xf>
    <xf numFmtId="0" fontId="54" fillId="31" borderId="0" applyNumberFormat="0" applyBorder="0" applyAlignment="0" applyProtection="0">
      <alignment vertical="center"/>
    </xf>
    <xf numFmtId="0" fontId="54" fillId="32" borderId="0" applyNumberFormat="0" applyBorder="0" applyAlignment="0" applyProtection="0">
      <alignment vertical="center"/>
    </xf>
    <xf numFmtId="0" fontId="55" fillId="33" borderId="0" applyNumberFormat="0" applyBorder="0" applyAlignment="0" applyProtection="0">
      <alignment vertical="center"/>
    </xf>
    <xf numFmtId="0" fontId="55" fillId="34" borderId="0" applyNumberFormat="0" applyBorder="0" applyAlignment="0" applyProtection="0">
      <alignment vertical="center"/>
    </xf>
    <xf numFmtId="0" fontId="54" fillId="35" borderId="0" applyNumberFormat="0" applyBorder="0" applyAlignment="0" applyProtection="0">
      <alignment vertical="center"/>
    </xf>
    <xf numFmtId="0" fontId="54" fillId="36" borderId="0" applyNumberFormat="0" applyBorder="0" applyAlignment="0" applyProtection="0">
      <alignment vertical="center"/>
    </xf>
    <xf numFmtId="0" fontId="55" fillId="37" borderId="0" applyNumberFormat="0" applyBorder="0" applyAlignment="0" applyProtection="0">
      <alignment vertical="center"/>
    </xf>
    <xf numFmtId="0" fontId="55" fillId="38" borderId="0" applyNumberFormat="0" applyBorder="0" applyAlignment="0" applyProtection="0">
      <alignment vertical="center"/>
    </xf>
    <xf numFmtId="0" fontId="54" fillId="39" borderId="0" applyNumberFormat="0" applyBorder="0" applyAlignment="0" applyProtection="0">
      <alignment vertical="center"/>
    </xf>
  </cellStyleXfs>
  <cellXfs count="131">
    <xf numFmtId="0" fontId="0" fillId="0" borderId="0" xfId="0">
      <alignment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0" fillId="0" borderId="0" xfId="0" applyFo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0" borderId="3" xfId="0" applyFont="1" applyFill="1" applyBorder="1" applyAlignment="1" applyProtection="1">
      <alignment horizontal="center" vertical="center" wrapText="1"/>
    </xf>
    <xf numFmtId="0" fontId="6" fillId="0" borderId="2" xfId="0" applyFont="1" applyFill="1" applyBorder="1" applyAlignment="1" applyProtection="1">
      <alignment horizontal="center" vertical="center" wrapText="1"/>
    </xf>
    <xf numFmtId="0" fontId="7" fillId="0" borderId="2" xfId="0" applyFont="1" applyFill="1" applyBorder="1" applyAlignment="1" applyProtection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 wrapText="1"/>
    </xf>
    <xf numFmtId="9" fontId="9" fillId="0" borderId="2" xfId="3" applyFont="1" applyFill="1" applyBorder="1" applyAlignment="1">
      <alignment horizontal="center" vertical="center" wrapText="1"/>
    </xf>
    <xf numFmtId="176" fontId="9" fillId="4" borderId="2" xfId="0" applyNumberFormat="1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 wrapText="1"/>
    </xf>
    <xf numFmtId="0" fontId="10" fillId="5" borderId="2" xfId="0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7" fillId="0" borderId="1" xfId="0" applyFont="1" applyFill="1" applyBorder="1" applyAlignment="1" applyProtection="1">
      <alignment horizontal="center" vertical="center" wrapText="1"/>
    </xf>
    <xf numFmtId="0" fontId="6" fillId="0" borderId="1" xfId="0" applyFont="1" applyFill="1" applyBorder="1" applyAlignment="1" applyProtection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9" fontId="10" fillId="0" borderId="1" xfId="3" applyFont="1" applyFill="1" applyBorder="1" applyAlignment="1">
      <alignment horizontal="center" vertical="center" wrapText="1"/>
    </xf>
    <xf numFmtId="176" fontId="9" fillId="4" borderId="1" xfId="0" applyNumberFormat="1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58" fontId="11" fillId="0" borderId="1" xfId="0" applyNumberFormat="1" applyFont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15" fillId="0" borderId="1" xfId="6" applyFill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center" vertical="center" wrapText="1"/>
    </xf>
    <xf numFmtId="176" fontId="16" fillId="0" borderId="1" xfId="0" applyNumberFormat="1" applyFont="1" applyFill="1" applyBorder="1" applyAlignment="1">
      <alignment horizontal="center" vertical="center" wrapText="1"/>
    </xf>
    <xf numFmtId="177" fontId="16" fillId="0" borderId="1" xfId="0" applyNumberFormat="1" applyFont="1" applyFill="1" applyBorder="1" applyAlignment="1">
      <alignment horizontal="center" vertical="center" wrapText="1"/>
    </xf>
    <xf numFmtId="9" fontId="16" fillId="0" borderId="1" xfId="3" applyFont="1" applyFill="1" applyBorder="1" applyAlignment="1">
      <alignment horizontal="center" vertical="center" wrapText="1"/>
    </xf>
    <xf numFmtId="178" fontId="16" fillId="0" borderId="1" xfId="0" applyNumberFormat="1" applyFont="1" applyFill="1" applyBorder="1" applyAlignment="1">
      <alignment horizontal="center" vertical="center" wrapText="1"/>
    </xf>
    <xf numFmtId="0" fontId="16" fillId="0" borderId="1" xfId="0" applyFont="1" applyFill="1" applyBorder="1" applyAlignment="1">
      <alignment horizontal="center" vertical="center" wrapText="1"/>
    </xf>
    <xf numFmtId="9" fontId="16" fillId="0" borderId="1" xfId="3" applyNumberFormat="1" applyFont="1" applyFill="1" applyBorder="1" applyAlignment="1">
      <alignment horizontal="center" vertical="center" wrapText="1"/>
    </xf>
    <xf numFmtId="0" fontId="15" fillId="0" borderId="1" xfId="6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8" fillId="0" borderId="4" xfId="0" applyFont="1" applyBorder="1" applyAlignment="1">
      <alignment horizontal="center" vertical="center" wrapText="1"/>
    </xf>
    <xf numFmtId="0" fontId="18" fillId="0" borderId="5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 wrapText="1"/>
    </xf>
    <xf numFmtId="0" fontId="19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20" fillId="0" borderId="0" xfId="0" applyFont="1" applyBorder="1" applyAlignment="1">
      <alignment horizontal="center" vertical="center"/>
    </xf>
    <xf numFmtId="0" fontId="21" fillId="0" borderId="7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176" fontId="23" fillId="3" borderId="1" xfId="0" applyNumberFormat="1" applyFont="1" applyFill="1" applyBorder="1" applyAlignment="1" applyProtection="1">
      <alignment horizontal="center" vertical="center" wrapText="1"/>
    </xf>
    <xf numFmtId="9" fontId="16" fillId="6" borderId="1" xfId="3" applyFont="1" applyFill="1" applyBorder="1" applyAlignment="1">
      <alignment horizontal="center" vertical="center" wrapText="1"/>
    </xf>
    <xf numFmtId="9" fontId="23" fillId="0" borderId="1" xfId="0" applyNumberFormat="1" applyFont="1" applyFill="1" applyBorder="1" applyAlignment="1" applyProtection="1">
      <alignment horizontal="center" vertical="center" wrapText="1"/>
    </xf>
    <xf numFmtId="0" fontId="16" fillId="7" borderId="1" xfId="0" applyFont="1" applyFill="1" applyBorder="1" applyAlignment="1">
      <alignment horizontal="center" vertical="center" wrapText="1"/>
    </xf>
    <xf numFmtId="176" fontId="16" fillId="7" borderId="1" xfId="0" applyNumberFormat="1" applyFont="1" applyFill="1" applyBorder="1" applyAlignment="1">
      <alignment horizontal="center" vertical="center"/>
    </xf>
    <xf numFmtId="176" fontId="16" fillId="3" borderId="1" xfId="0" applyNumberFormat="1" applyFont="1" applyFill="1" applyBorder="1" applyAlignment="1">
      <alignment horizontal="center" vertical="center" wrapText="1"/>
    </xf>
    <xf numFmtId="176" fontId="16" fillId="7" borderId="1" xfId="0" applyNumberFormat="1" applyFont="1" applyFill="1" applyBorder="1" applyAlignment="1">
      <alignment horizontal="center" vertical="center" wrapText="1"/>
    </xf>
    <xf numFmtId="176" fontId="23" fillId="0" borderId="1" xfId="0" applyNumberFormat="1" applyFont="1" applyFill="1" applyBorder="1" applyAlignment="1" applyProtection="1">
      <alignment horizontal="center" vertical="center" wrapText="1"/>
    </xf>
    <xf numFmtId="0" fontId="17" fillId="0" borderId="1" xfId="0" applyNumberFormat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/>
    </xf>
    <xf numFmtId="0" fontId="24" fillId="0" borderId="10" xfId="0" applyFont="1" applyBorder="1" applyAlignment="1">
      <alignment horizontal="center" vertical="center" wrapText="1"/>
    </xf>
    <xf numFmtId="0" fontId="0" fillId="0" borderId="11" xfId="0" applyFont="1" applyBorder="1" applyAlignment="1">
      <alignment horizontal="center" vertical="center"/>
    </xf>
    <xf numFmtId="0" fontId="24" fillId="0" borderId="4" xfId="0" applyFont="1" applyBorder="1" applyAlignment="1">
      <alignment horizontal="center" vertical="center"/>
    </xf>
    <xf numFmtId="176" fontId="25" fillId="3" borderId="4" xfId="0" applyNumberFormat="1" applyFont="1" applyFill="1" applyBorder="1" applyAlignment="1">
      <alignment horizontal="center" vertical="center" wrapText="1"/>
    </xf>
    <xf numFmtId="176" fontId="25" fillId="0" borderId="4" xfId="0" applyNumberFormat="1" applyFont="1" applyBorder="1" applyAlignment="1">
      <alignment horizontal="center" vertical="center" wrapText="1"/>
    </xf>
    <xf numFmtId="177" fontId="25" fillId="0" borderId="4" xfId="0" applyNumberFormat="1" applyFont="1" applyBorder="1" applyAlignment="1">
      <alignment horizontal="center" vertical="center" wrapText="1"/>
    </xf>
    <xf numFmtId="9" fontId="25" fillId="6" borderId="4" xfId="0" applyNumberFormat="1" applyFont="1" applyFill="1" applyBorder="1" applyAlignment="1">
      <alignment horizontal="center" vertical="center" wrapText="1"/>
    </xf>
    <xf numFmtId="9" fontId="25" fillId="0" borderId="4" xfId="0" applyNumberFormat="1" applyFont="1" applyBorder="1" applyAlignment="1">
      <alignment horizontal="center" vertical="center" wrapText="1"/>
    </xf>
    <xf numFmtId="0" fontId="26" fillId="8" borderId="4" xfId="0" applyFont="1" applyFill="1" applyBorder="1" applyAlignment="1">
      <alignment horizontal="center" vertical="center" wrapText="1"/>
    </xf>
    <xf numFmtId="0" fontId="25" fillId="8" borderId="4" xfId="0" applyFont="1" applyFill="1" applyBorder="1" applyAlignment="1">
      <alignment horizontal="center" vertical="center" wrapText="1"/>
    </xf>
    <xf numFmtId="0" fontId="25" fillId="3" borderId="4" xfId="0" applyFont="1" applyFill="1" applyBorder="1" applyAlignment="1">
      <alignment horizontal="center" vertical="center" wrapText="1"/>
    </xf>
    <xf numFmtId="176" fontId="25" fillId="8" borderId="4" xfId="0" applyNumberFormat="1" applyFont="1" applyFill="1" applyBorder="1" applyAlignment="1">
      <alignment horizontal="center" vertical="center"/>
    </xf>
    <xf numFmtId="0" fontId="25" fillId="0" borderId="4" xfId="0" applyFont="1" applyBorder="1" applyAlignment="1">
      <alignment horizontal="center" vertical="center" wrapText="1"/>
    </xf>
    <xf numFmtId="178" fontId="25" fillId="0" borderId="4" xfId="0" applyNumberFormat="1" applyFont="1" applyBorder="1" applyAlignment="1">
      <alignment horizontal="center" vertical="center" wrapText="1"/>
    </xf>
    <xf numFmtId="176" fontId="25" fillId="8" borderId="4" xfId="0" applyNumberFormat="1" applyFont="1" applyFill="1" applyBorder="1" applyAlignment="1">
      <alignment horizontal="center" vertical="center" wrapText="1"/>
    </xf>
    <xf numFmtId="0" fontId="27" fillId="0" borderId="4" xfId="0" applyFont="1" applyBorder="1" applyAlignment="1">
      <alignment vertical="center" wrapText="1"/>
    </xf>
    <xf numFmtId="0" fontId="28" fillId="0" borderId="4" xfId="0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30" fillId="0" borderId="4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9" fillId="8" borderId="4" xfId="0" applyFont="1" applyFill="1" applyBorder="1" applyAlignment="1" applyProtection="1">
      <alignment horizontal="center" vertical="center" wrapText="1"/>
    </xf>
    <xf numFmtId="0" fontId="29" fillId="0" borderId="4" xfId="0" applyFont="1" applyBorder="1" applyAlignment="1">
      <alignment horizontal="center" vertical="center" wrapText="1"/>
    </xf>
    <xf numFmtId="0" fontId="19" fillId="8" borderId="4" xfId="0" applyFont="1" applyFill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31" fillId="0" borderId="4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32" fillId="0" borderId="4" xfId="6" applyFont="1" applyBorder="1" applyAlignment="1">
      <alignment horizontal="center" vertical="center" wrapText="1"/>
    </xf>
    <xf numFmtId="0" fontId="33" fillId="0" borderId="4" xfId="0" applyFont="1" applyBorder="1" applyAlignment="1">
      <alignment horizontal="center" vertical="center" wrapText="1"/>
    </xf>
    <xf numFmtId="0" fontId="17" fillId="3" borderId="4" xfId="0" applyFont="1" applyFill="1" applyBorder="1" applyAlignment="1">
      <alignment horizontal="center" vertical="center" wrapText="1"/>
    </xf>
    <xf numFmtId="176" fontId="34" fillId="0" borderId="1" xfId="0" applyNumberFormat="1" applyFont="1" applyFill="1" applyBorder="1" applyAlignment="1">
      <alignment horizontal="center" vertical="center" wrapText="1"/>
    </xf>
    <xf numFmtId="177" fontId="34" fillId="0" borderId="1" xfId="0" applyNumberFormat="1" applyFont="1" applyFill="1" applyBorder="1" applyAlignment="1">
      <alignment horizontal="center" vertical="center" wrapText="1"/>
    </xf>
    <xf numFmtId="9" fontId="34" fillId="6" borderId="1" xfId="3" applyFont="1" applyFill="1" applyBorder="1" applyAlignment="1">
      <alignment horizontal="center" vertical="center" wrapText="1"/>
    </xf>
    <xf numFmtId="9" fontId="35" fillId="8" borderId="1" xfId="0" applyNumberFormat="1" applyFont="1" applyFill="1" applyBorder="1" applyAlignment="1" applyProtection="1">
      <alignment horizontal="center" vertical="center" wrapText="1"/>
    </xf>
    <xf numFmtId="0" fontId="36" fillId="8" borderId="4" xfId="0" applyFont="1" applyFill="1" applyBorder="1" applyAlignment="1">
      <alignment horizontal="center" vertical="center" wrapText="1"/>
    </xf>
    <xf numFmtId="0" fontId="35" fillId="8" borderId="4" xfId="0" applyFont="1" applyFill="1" applyBorder="1" applyAlignment="1">
      <alignment horizontal="center" vertical="center" wrapText="1"/>
    </xf>
    <xf numFmtId="9" fontId="35" fillId="0" borderId="4" xfId="0" applyNumberFormat="1" applyFont="1" applyBorder="1" applyAlignment="1">
      <alignment horizontal="center" vertical="center" wrapText="1"/>
    </xf>
    <xf numFmtId="176" fontId="34" fillId="7" borderId="1" xfId="0" applyNumberFormat="1" applyFont="1" applyFill="1" applyBorder="1" applyAlignment="1">
      <alignment horizontal="center" vertical="center"/>
    </xf>
    <xf numFmtId="0" fontId="17" fillId="0" borderId="4" xfId="0" applyFont="1" applyBorder="1" applyAlignment="1">
      <alignment horizontal="center" vertical="center" wrapText="1"/>
    </xf>
    <xf numFmtId="178" fontId="34" fillId="0" borderId="1" xfId="0" applyNumberFormat="1" applyFont="1" applyFill="1" applyBorder="1" applyAlignment="1">
      <alignment horizontal="center" vertical="center" wrapText="1"/>
    </xf>
    <xf numFmtId="176" fontId="34" fillId="7" borderId="1" xfId="0" applyNumberFormat="1" applyFont="1" applyFill="1" applyBorder="1" applyAlignment="1">
      <alignment horizontal="center" vertical="center" wrapText="1"/>
    </xf>
    <xf numFmtId="176" fontId="35" fillId="0" borderId="4" xfId="0" applyNumberFormat="1" applyFont="1" applyBorder="1" applyAlignment="1">
      <alignment horizontal="center" vertical="center" wrapText="1"/>
    </xf>
    <xf numFmtId="177" fontId="35" fillId="0" borderId="4" xfId="0" applyNumberFormat="1" applyFont="1" applyBorder="1" applyAlignment="1">
      <alignment horizontal="center" vertical="center" wrapText="1"/>
    </xf>
    <xf numFmtId="0" fontId="37" fillId="0" borderId="4" xfId="6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30" fillId="0" borderId="4" xfId="6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1">
    <dxf>
      <font>
        <color rgb="FFFF0000"/>
      </font>
    </dxf>
    <dxf>
      <font>
        <color rgb="FF7030A0"/>
      </font>
    </dxf>
    <dxf>
      <font>
        <color rgb="FF0000FF"/>
      </font>
    </dxf>
    <dxf>
      <font>
        <color rgb="FF00B050"/>
      </font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0"/>
      <tableStyleElement type="headerRow" dxfId="9"/>
      <tableStyleElement type="totalRow" dxfId="8"/>
      <tableStyleElement type="firstColumn" dxfId="7"/>
      <tableStyleElement type="lastColumn" dxfId="6"/>
      <tableStyleElement type="firstRowStripe" dxfId="5"/>
      <tableStyleElement type="firstColumnStripe" dxfId="4"/>
    </tableStyle>
    <tableStyle name="PivotStylePreset2_Accent1" table="0" count="10" xr9:uid="{267968C8-6FFD-4C36-ACC1-9EA1FD1885CA}">
      <tableStyleElement type="headerRow" dxfId="20"/>
      <tableStyleElement type="totalRow" dxfId="19"/>
      <tableStyleElement type="firstRowStripe" dxfId="18"/>
      <tableStyleElement type="firstColumnStripe" dxfId="17"/>
      <tableStyleElement type="firstSubtotalRow" dxfId="16"/>
      <tableStyleElement type="secondSubtotalRow" dxfId="15"/>
      <tableStyleElement type="firstRowSubheading" dxfId="14"/>
      <tableStyleElement type="secondRowSubheading" dxfId="13"/>
      <tableStyleElement type="pageFieldLabels" dxfId="12"/>
      <tableStyleElement type="pageFieldValues" dxfId="11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3" Type="http://schemas.openxmlformats.org/officeDocument/2006/relationships/image" Target="media/image3.jpeg"/><Relationship Id="rId2" Type="http://schemas.openxmlformats.org/officeDocument/2006/relationships/image" Target="media/image2.png"/><Relationship Id="rId1" Type="http://schemas.openxmlformats.org/officeDocument/2006/relationships/image" Target="media/image1.jpeg"/></Relationships>
</file>

<file path=xl/_rels/workbook.xml.rels><?xml version="1.0" encoding="UTF-8" standalone="yes"?>
<Relationships xmlns="http://schemas.openxmlformats.org/package/2006/relationships"><Relationship Id="rId9" Type="http://www.wps.cn/officeDocument/2020/cellImage" Target="cellimag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361950</xdr:colOff>
      <xdr:row>21</xdr:row>
      <xdr:rowOff>76200</xdr:rowOff>
    </xdr:to>
    <xdr:pic>
      <xdr:nvPicPr>
        <xdr:cNvPr id="574" name="ID_CFAA2D342E3B4A8AA0E2EBA7920D8753" descr="upload_post_object_v2_3462953792"/>
        <xdr:cNvPicPr/>
      </xdr:nvPicPr>
      <xdr:blipFill>
        <a:blip r:embed="rId1"/>
        <a:stretch>
          <a:fillRect/>
        </a:stretch>
      </xdr:blipFill>
      <xdr:spPr>
        <a:xfrm>
          <a:off x="0" y="0"/>
          <a:ext cx="8591550" cy="36766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66675</xdr:colOff>
      <xdr:row>1</xdr:row>
      <xdr:rowOff>66675</xdr:rowOff>
    </xdr:to>
    <xdr:pic>
      <xdr:nvPicPr>
        <xdr:cNvPr id="87" name="ID_B931C45A59B94762B0C519FBACAE8037" descr="upload_post_object_v2_1393997604"/>
        <xdr:cNvPicPr/>
      </xdr:nvPicPr>
      <xdr:blipFill>
        <a:blip r:embed="rId2"/>
        <a:stretch>
          <a:fillRect/>
        </a:stretch>
      </xdr:blipFill>
      <xdr:spPr>
        <a:xfrm>
          <a:off x="0" y="0"/>
          <a:ext cx="752475" cy="2381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228600</xdr:colOff>
      <xdr:row>53</xdr:row>
      <xdr:rowOff>57150</xdr:rowOff>
    </xdr:to>
    <xdr:pic>
      <xdr:nvPicPr>
        <xdr:cNvPr id="100" name="ID_9A4A7EBBE74E4D27A70B793C7753CEA7" descr="upload_post_object_v2_1066119304"/>
        <xdr:cNvPicPr/>
      </xdr:nvPicPr>
      <xdr:blipFill>
        <a:blip r:embed="rId3"/>
        <a:stretch>
          <a:fillRect/>
        </a:stretch>
      </xdr:blipFill>
      <xdr:spPr>
        <a:xfrm>
          <a:off x="0" y="0"/>
          <a:ext cx="9144000" cy="9144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hyperlink" Target="https://detail.1688.com/offer/1031569019669.html" TargetMode="External"/><Relationship Id="rId98" Type="http://schemas.openxmlformats.org/officeDocument/2006/relationships/hyperlink" Target="https://www.amazon.co.uk/dp/B0GYWMD2T8?psc=1" TargetMode="External"/><Relationship Id="rId97" Type="http://schemas.openxmlformats.org/officeDocument/2006/relationships/hyperlink" Target="https://detail.1688.com/offer/1036449375228.html?spm" TargetMode="External"/><Relationship Id="rId96" Type="http://schemas.openxmlformats.org/officeDocument/2006/relationships/hyperlink" Target="https://www.amazon.co.uk/dp/B0GWQQ7WFV?th=1" TargetMode="External"/><Relationship Id="rId95" Type="http://schemas.openxmlformats.org/officeDocument/2006/relationships/hyperlink" Target="https://www.amazon.co.uk/dp/B0GSVP9GDQ?th=1" TargetMode="External"/><Relationship Id="rId94" Type="http://schemas.openxmlformats.org/officeDocument/2006/relationships/hyperlink" Target="https://www.amazon.co.uk/stylesnap?q=https%3A%2F%2Fm.media-amazon.com%2Fimages%2FI%2F71N6StNmNEL.jpg" TargetMode="External"/><Relationship Id="rId93" Type="http://schemas.openxmlformats.org/officeDocument/2006/relationships/hyperlink" Target="https://www.amazon.co.uk/dp/B0GTQ157ZX?th=1" TargetMode="External"/><Relationship Id="rId92" Type="http://schemas.openxmlformats.org/officeDocument/2006/relationships/hyperlink" Target="https://detail.1688.com/offer/1039712336374.html?spm" TargetMode="External"/><Relationship Id="rId91" Type="http://schemas.openxmlformats.org/officeDocument/2006/relationships/hyperlink" Target="https://detail.1688.com/offer/1010392917910.html?spm" TargetMode="External"/><Relationship Id="rId90" Type="http://schemas.openxmlformats.org/officeDocument/2006/relationships/hyperlink" Target="https://www.amazon.co.uk/stylesnap?q=https%3A%2F%2Fm.media-amazon.com%2Fimages%2FI%2F61qJ2jKMVNL._AC.jpg" TargetMode="External"/><Relationship Id="rId9" Type="http://schemas.openxmlformats.org/officeDocument/2006/relationships/hyperlink" Target="https://www.amazon.co.uk/dp/B0GSFSM1L2" TargetMode="External"/><Relationship Id="rId89" Type="http://schemas.openxmlformats.org/officeDocument/2006/relationships/hyperlink" Target="https://www.amazon.de/dp/B0GHVS9PK9/ref" TargetMode="External"/><Relationship Id="rId88" Type="http://schemas.openxmlformats.org/officeDocument/2006/relationships/hyperlink" Target="https://detail.1688.com/offer/1030349242052.html?offerId" TargetMode="External"/><Relationship Id="rId87" Type="http://schemas.openxmlformats.org/officeDocument/2006/relationships/hyperlink" Target="https://detail.1688.com/offer/1012075970042.html?spm" TargetMode="External"/><Relationship Id="rId86" Type="http://schemas.openxmlformats.org/officeDocument/2006/relationships/hyperlink" Target="https://www.amazon.co.uk/stylesnap?q=https%3A%2F%2Fm.media-amazon.com%2Fimages%2FI%2F71wUmotBODL.jpg" TargetMode="External"/><Relationship Id="rId85" Type="http://schemas.openxmlformats.org/officeDocument/2006/relationships/hyperlink" Target="https://www.amazon.co.uk/dp/B0GMQF2WX7?psc=1" TargetMode="External"/><Relationship Id="rId84" Type="http://schemas.openxmlformats.org/officeDocument/2006/relationships/hyperlink" Target="https://www.amazon.co.uk/dp/B0GTYYKJHQ?psc=1" TargetMode="External"/><Relationship Id="rId83" Type="http://schemas.openxmlformats.org/officeDocument/2006/relationships/hyperlink" Target="https://www.amazon.co.uk/dp/B0FVL3BBWJ" TargetMode="External"/><Relationship Id="rId82" Type="http://schemas.openxmlformats.org/officeDocument/2006/relationships/hyperlink" Target="https://www.amazon.co.uk/stylesnap?q=https%3A%2F%2Fm.media-amazon.com%2Fimages%2FI%2F71HF2iWZ9ML.jpg" TargetMode="External"/><Relationship Id="rId81" Type="http://schemas.openxmlformats.org/officeDocument/2006/relationships/hyperlink" Target="https://detail.1688.com/offer/1032423252698.html?fromkv=cbuPcPlugin:imageSearchDrawerCard&amp;spm" TargetMode="External"/><Relationship Id="rId80" Type="http://schemas.openxmlformats.org/officeDocument/2006/relationships/hyperlink" Target="https://detail.1688.com/offer/1006205503450.html?spm=a26286.8251493.description.2.221425b2eHhjOM" TargetMode="External"/><Relationship Id="rId8" Type="http://schemas.openxmlformats.org/officeDocument/2006/relationships/hyperlink" Target="https://detail.1688.com/offer/1031675171280.html?spm=a26352.b28411319/2508.0.0" TargetMode="External"/><Relationship Id="rId79" Type="http://schemas.openxmlformats.org/officeDocument/2006/relationships/hyperlink" Target="https://detail.1688.com/offer/1051950802243.html" TargetMode="External"/><Relationship Id="rId78" Type="http://schemas.openxmlformats.org/officeDocument/2006/relationships/hyperlink" Target="https://www.amazon.co.uk/Aurelx-Dachshund-Acrylic-Fresheners-Accessories/dp/B0GKFDX4PH" TargetMode="External"/><Relationship Id="rId77" Type="http://schemas.openxmlformats.org/officeDocument/2006/relationships/hyperlink" Target="https://detail.1688.com/offer/1047508163611.html?offerId=1047508163611&amp;hotSaleSkuId=6242561190419&amp;spm" TargetMode="External"/><Relationship Id="rId76" Type="http://schemas.openxmlformats.org/officeDocument/2006/relationships/hyperlink" Target="https://www.amazon.co.uk/dp/B0GXKJ8CW5" TargetMode="External"/><Relationship Id="rId75" Type="http://schemas.openxmlformats.org/officeDocument/2006/relationships/hyperlink" Target="https://www.amazon.co.uk/stylesnap?q=https%3A%2F%2Fm.media-amazon.com%2Fimages%2FI%2F71aeRkELUIL._AC.jpg" TargetMode="External"/><Relationship Id="rId74" Type="http://schemas.openxmlformats.org/officeDocument/2006/relationships/hyperlink" Target="https://www.amazon.de/dp/B0GRH1NXNX" TargetMode="External"/><Relationship Id="rId73" Type="http://schemas.openxmlformats.org/officeDocument/2006/relationships/hyperlink" Target="https://detail.1688.com/offer/1037576539879.html?offerId=1037576539879&amp;hotSaleSkuId=6222600139818&amp;spm" TargetMode="External"/><Relationship Id="rId72" Type="http://schemas.openxmlformats.org/officeDocument/2006/relationships/hyperlink" Target="https://www.amazon.co.uk/dp/B0GTYYKJHQ" TargetMode="External"/><Relationship Id="rId71" Type="http://schemas.openxmlformats.org/officeDocument/2006/relationships/hyperlink" Target="https://www.amazon.com/dp/B0G4W2GQ31" TargetMode="External"/><Relationship Id="rId70" Type="http://schemas.openxmlformats.org/officeDocument/2006/relationships/hyperlink" Target="https://www.amazon.com/dp/B0G78JH6FR" TargetMode="External"/><Relationship Id="rId7" Type="http://schemas.openxmlformats.org/officeDocument/2006/relationships/hyperlink" Target="https://detail.1688.com/offer/979493801270.html?spm=a26352.b28411319/2508.0.0" TargetMode="External"/><Relationship Id="rId69" Type="http://schemas.openxmlformats.org/officeDocument/2006/relationships/hyperlink" Target="https://detail.1688.com/offer/940195528867.html?spm" TargetMode="External"/><Relationship Id="rId68" Type="http://schemas.openxmlformats.org/officeDocument/2006/relationships/hyperlink" Target="https://www.amazon.co.uk/stylesnap?q=https%3A%2F%2Fm.media-amazon.com%2Fimages%2FI%2F61dfhIzIEOL.jpg" TargetMode="External"/><Relationship Id="rId67" Type="http://schemas.openxmlformats.org/officeDocument/2006/relationships/hyperlink" Target="https://www.amazon.co.uk/Peacoblue-Stickers-Wildflowers-Waterproof-Decoration/dp/B0G2SJCLLM" TargetMode="External"/><Relationship Id="rId66" Type="http://schemas.openxmlformats.org/officeDocument/2006/relationships/hyperlink" Target="https://detail.1688.com/offer/1052832871120.html?" TargetMode="External"/><Relationship Id="rId65" Type="http://schemas.openxmlformats.org/officeDocument/2006/relationships/hyperlink" Target="https://detail.1688.com/offer/1054544462475.html?spm" TargetMode="External"/><Relationship Id="rId64" Type="http://schemas.openxmlformats.org/officeDocument/2006/relationships/hyperlink" Target="https://www.amazon.de/dp/B0GRB3GCQC" TargetMode="External"/><Relationship Id="rId63" Type="http://schemas.openxmlformats.org/officeDocument/2006/relationships/hyperlink" Target="https://www.amazon.de/dp/B0GXNM7H6M" TargetMode="External"/><Relationship Id="rId62" Type="http://schemas.openxmlformats.org/officeDocument/2006/relationships/hyperlink" Target="https://detail.1688.com/offer/1048640203048.html?spm" TargetMode="External"/><Relationship Id="rId61" Type="http://schemas.openxmlformats.org/officeDocument/2006/relationships/hyperlink" Target="https://www.amazon.co.uk/stylesnap?q=https%3A%2F%2Fm.media-amazon.com%2Fimages%2FI%2F31nQ-QqHr1L.jpg" TargetMode="External"/><Relationship Id="rId60" Type="http://schemas.openxmlformats.org/officeDocument/2006/relationships/hyperlink" Target="https://www.amazon.co.uk/dp/B0H1CT7FRQ" TargetMode="External"/><Relationship Id="rId6" Type="http://schemas.openxmlformats.org/officeDocument/2006/relationships/hyperlink" Target="https://www.amazon.de/shopthelook?q=https%3A%2F%2Fm.media-amazon.com%2Fimages%2FI%2F81XF8P1OQrL._SL400_.jpg" TargetMode="External"/><Relationship Id="rId59" Type="http://schemas.openxmlformats.org/officeDocument/2006/relationships/hyperlink" Target="https://detail.1688.com/offer/1047738239197.html?fromkv=cbuPcPlugin:imageSearchDrawerCard&amp;spm" TargetMode="External"/><Relationship Id="rId58" Type="http://schemas.openxmlformats.org/officeDocument/2006/relationships/hyperlink" Target="https://www.amazon.co.uk/stylesnap?q=https%3A%2F%2Fm.media-amazon.com%2Fimages%2FI%2F41qlP8dNJKL.jpg" TargetMode="External"/><Relationship Id="rId57" Type="http://schemas.openxmlformats.org/officeDocument/2006/relationships/hyperlink" Target="https://www.amazon.co.uk/dp/B0GYSF1NZQ" TargetMode="External"/><Relationship Id="rId56" Type="http://schemas.openxmlformats.org/officeDocument/2006/relationships/hyperlink" Target="https://www.amazon.co.uk/dp/B0GYSFKFC7" TargetMode="External"/><Relationship Id="rId55" Type="http://schemas.openxmlformats.org/officeDocument/2006/relationships/hyperlink" Target="https://www.amazon.co.uk/dp/B0H251SH2C" TargetMode="External"/><Relationship Id="rId54" Type="http://schemas.openxmlformats.org/officeDocument/2006/relationships/hyperlink" Target="https://detail.1688.com/offer/1052125905785.html?_t=1780278993810&amp;spm" TargetMode="External"/><Relationship Id="rId53" Type="http://schemas.openxmlformats.org/officeDocument/2006/relationships/hyperlink" Target="https://www.amazon.co.uk/stylesnap?q=https%3A%2F%2Fm.media-amazon.com%2Fimages%2FI%2F71if7W4z5zL._AC.jpg" TargetMode="External"/><Relationship Id="rId52" Type="http://schemas.openxmlformats.org/officeDocument/2006/relationships/hyperlink" Target="https://www.amazon.co.uk/dp/B0GR9H6KQS" TargetMode="External"/><Relationship Id="rId51" Type="http://schemas.openxmlformats.org/officeDocument/2006/relationships/hyperlink" Target="https://www.amazon.co.uk/dp/B0GKTP8TTJ" TargetMode="External"/><Relationship Id="rId50" Type="http://schemas.openxmlformats.org/officeDocument/2006/relationships/hyperlink" Target="https://www.amazon.co.uk/dp/B0GTTZW25N" TargetMode="External"/><Relationship Id="rId5" Type="http://schemas.openxmlformats.org/officeDocument/2006/relationships/hyperlink" Target="https://www.amazon.co.uk/dp/B0FBWX9C1N/ref=mweb_up_am_fl_st_na_un_up_sm_web" TargetMode="External"/><Relationship Id="rId49" Type="http://schemas.openxmlformats.org/officeDocument/2006/relationships/hyperlink" Target="https://detail.1688.com/offer/1049646087915.html?spm" TargetMode="External"/><Relationship Id="rId48" Type="http://schemas.openxmlformats.org/officeDocument/2006/relationships/hyperlink" Target="https://www.amazon.co.uk/stylesnap?q=https%3A%2F%2Fm.media-amazon.com%2Fimages%2FI%2F71sTsFWsOKL._AC.jpg" TargetMode="External"/><Relationship Id="rId47" Type="http://schemas.openxmlformats.org/officeDocument/2006/relationships/hyperlink" Target="https://www.amazon.com/dp/B0H1VN6TD4" TargetMode="External"/><Relationship Id="rId46" Type="http://schemas.openxmlformats.org/officeDocument/2006/relationships/hyperlink" Target="https://www.amazon.co.uk/dp/B0H1HNB3H9" TargetMode="External"/><Relationship Id="rId45" Type="http://schemas.openxmlformats.org/officeDocument/2006/relationships/hyperlink" Target="https://detail.1688.com/offer/1053033920239.html?spm" TargetMode="External"/><Relationship Id="rId44" Type="http://schemas.openxmlformats.org/officeDocument/2006/relationships/hyperlink" Target="https://www.amazon.com/dp/B0H2XVKXST" TargetMode="External"/><Relationship Id="rId43" Type="http://schemas.openxmlformats.org/officeDocument/2006/relationships/hyperlink" Target="https://www.amazon.co.uk/dp/B0GVCFXTJP" TargetMode="External"/><Relationship Id="rId42" Type="http://schemas.openxmlformats.org/officeDocument/2006/relationships/hyperlink" Target="https://detail.1688.com/offer/1054271992957.html?spm" TargetMode="External"/><Relationship Id="rId41" Type="http://schemas.openxmlformats.org/officeDocument/2006/relationships/hyperlink" Target="https://detail.1688.com/offer/1044387534620.html?spm" TargetMode="External"/><Relationship Id="rId40" Type="http://schemas.openxmlformats.org/officeDocument/2006/relationships/hyperlink" Target="https://www.amazon.co.uk/dp/B0FCLXMSF6" TargetMode="External"/><Relationship Id="rId4" Type="http://schemas.openxmlformats.org/officeDocument/2006/relationships/hyperlink" Target="https://www.amazon.de/shopthelook?q=https%3A%2F%2Fm.media-amazon.com%2Fimages%2FI%2F81fB4Bx4QYL._SL400_.jpg" TargetMode="External"/><Relationship Id="rId39" Type="http://schemas.openxmlformats.org/officeDocument/2006/relationships/hyperlink" Target="https://detail.1688.com/offer/1043747154962.html?spm" TargetMode="External"/><Relationship Id="rId38" Type="http://schemas.openxmlformats.org/officeDocument/2006/relationships/hyperlink" Target="https://detail.1688.com/offer/1054164452740.html?spm" TargetMode="External"/><Relationship Id="rId37" Type="http://schemas.openxmlformats.org/officeDocument/2006/relationships/hyperlink" Target="https://www.amazon.co.uk/dp/B0GS2852D6" TargetMode="External"/><Relationship Id="rId36" Type="http://schemas.openxmlformats.org/officeDocument/2006/relationships/hyperlink" Target="https://www.amazon.co.uk/dp/B0GQ95G3V1" TargetMode="External"/><Relationship Id="rId35" Type="http://schemas.openxmlformats.org/officeDocument/2006/relationships/hyperlink" Target="https://detail.1688.com/offer/1049898934549.html?_t=1780025316101&amp;spm" TargetMode="External"/><Relationship Id="rId34" Type="http://schemas.openxmlformats.org/officeDocument/2006/relationships/hyperlink" Target="https://www.amazon.com/dp/B0GDXV578P" TargetMode="External"/><Relationship Id="rId33" Type="http://schemas.openxmlformats.org/officeDocument/2006/relationships/hyperlink" Target="https://www.amazon.co.uk/dp/B0GJRHB89S" TargetMode="External"/><Relationship Id="rId32" Type="http://schemas.openxmlformats.org/officeDocument/2006/relationships/hyperlink" Target="https://detail.1688.com/offer/986476469057.html?fromkv=cbuPcPlugin:imageSearchDrawerCard&amp;spm" TargetMode="External"/><Relationship Id="rId31" Type="http://schemas.openxmlformats.org/officeDocument/2006/relationships/hyperlink" Target="https://www.amazon.co.uk/stylesnap?q=https%3A%2F%2Fm.media-amazon.com%2Fimages%2FI%2F61lhUOfC8jL.jpg" TargetMode="External"/><Relationship Id="rId30" Type="http://schemas.openxmlformats.org/officeDocument/2006/relationships/hyperlink" Target="https://www.amazon.co.uk/dp/B0GHR9G9SH" TargetMode="External"/><Relationship Id="rId3" Type="http://schemas.openxmlformats.org/officeDocument/2006/relationships/hyperlink" Target="https://www.amazon.co.uk/dp/B0GVCG8QM9" TargetMode="External"/><Relationship Id="rId29" Type="http://schemas.openxmlformats.org/officeDocument/2006/relationships/hyperlink" Target="https://www.amazon.co.uk/dp/B0GTYG78H9" TargetMode="External"/><Relationship Id="rId28" Type="http://schemas.openxmlformats.org/officeDocument/2006/relationships/hyperlink" Target="https://www.amazon.co.uk/dp/B0FT13F3Q7" TargetMode="External"/><Relationship Id="rId27" Type="http://schemas.openxmlformats.org/officeDocument/2006/relationships/hyperlink" Target="https://detail.1688.com/offer/795497446186.html?_t=1780019622864&amp;spm" TargetMode="External"/><Relationship Id="rId26" Type="http://schemas.openxmlformats.org/officeDocument/2006/relationships/hyperlink" Target="https://www.amazon.co.uk/dp/B0GZNPB8SC" TargetMode="External"/><Relationship Id="rId25" Type="http://schemas.openxmlformats.org/officeDocument/2006/relationships/hyperlink" Target="https://detail.1688.com/offer/1046547611617.html?spm" TargetMode="External"/><Relationship Id="rId24" Type="http://schemas.openxmlformats.org/officeDocument/2006/relationships/hyperlink" Target="https://www.amazon.co.uk/dp/B0FYX27GMB" TargetMode="External"/><Relationship Id="rId23" Type="http://schemas.openxmlformats.org/officeDocument/2006/relationships/hyperlink" Target="https://www.amazon.de/-/en/PARTY-GO-Napkins-Childrens-Birthday/dp/B0F1SZTLDY" TargetMode="External"/><Relationship Id="rId22" Type="http://schemas.openxmlformats.org/officeDocument/2006/relationships/hyperlink" Target="https://www.amazon.de/-/en/Koboko-Napkins-Birthday-Decoration-Childrens/dp/B0GG39WD1X" TargetMode="External"/><Relationship Id="rId21" Type="http://schemas.openxmlformats.org/officeDocument/2006/relationships/hyperlink" Target="https://detail.1688.com/offer/1054900968753.html?spm" TargetMode="External"/><Relationship Id="rId20" Type="http://schemas.openxmlformats.org/officeDocument/2006/relationships/hyperlink" Target="https://www.amazon.co.uk/dp/B0F7HQXS6D" TargetMode="External"/><Relationship Id="rId2" Type="http://schemas.openxmlformats.org/officeDocument/2006/relationships/hyperlink" Target="https://www.amazon.co.uk/dp/B0GT4QHWZK/ref=mweb_up_am_fl_st_na_un_up_sm_web?th=1" TargetMode="External"/><Relationship Id="rId192" Type="http://schemas.openxmlformats.org/officeDocument/2006/relationships/hyperlink" Target="https://page.1688.com/shtml/static/wrongpage.html" TargetMode="External"/><Relationship Id="rId191" Type="http://schemas.openxmlformats.org/officeDocument/2006/relationships/hyperlink" Target="https://www.amazon.co.uk/stylesnap?q=https%3A%2F%2Fm.media-amazon.com%2Fimages%2FI%2F71xl7MbBU5L.jpg" TargetMode="External"/><Relationship Id="rId190" Type="http://schemas.openxmlformats.org/officeDocument/2006/relationships/hyperlink" Target="https://www.amazon.co.uk/dp/B0GJ5N14ZG/ref" TargetMode="External"/><Relationship Id="rId19" Type="http://schemas.openxmlformats.org/officeDocument/2006/relationships/hyperlink" Target="https://www.amazon.co.uk/stylesnap?q=https%3A%2F%2Fm.media-amazon.com%2Fimages%2FI%2F61cSjpqLePL.jpg" TargetMode="External"/><Relationship Id="rId189" Type="http://schemas.openxmlformats.org/officeDocument/2006/relationships/hyperlink" Target="https://www.amazon.co.uk/dp/B0GK7ZPWFF/ref" TargetMode="External"/><Relationship Id="rId188" Type="http://schemas.openxmlformats.org/officeDocument/2006/relationships/hyperlink" Target="https://www.amazon.de/dp/B0GT79KH9L/ref=mweb_up_am_fl_st_na_un_up_sm_web" TargetMode="External"/><Relationship Id="rId187" Type="http://schemas.openxmlformats.org/officeDocument/2006/relationships/hyperlink" Target="https://detail.1688.com/offer/1036435899866.html?spm=a26352.b28411319/2508.0.0" TargetMode="External"/><Relationship Id="rId186" Type="http://schemas.openxmlformats.org/officeDocument/2006/relationships/hyperlink" Target="https://www.amazon.de/dp/B0GF1XMSV2/ref=mweb_up_am_fl_st_na_un_up_sm_web" TargetMode="External"/><Relationship Id="rId185" Type="http://schemas.openxmlformats.org/officeDocument/2006/relationships/hyperlink" Target="https://detail.1688.com/offer/1055022421299.html?spm=a2615.pc_new_goods/2506.wp_pc_new_product_list.0" TargetMode="External"/><Relationship Id="rId184" Type="http://schemas.openxmlformats.org/officeDocument/2006/relationships/hyperlink" Target="https://www.amazon.co.uk/dp/B0GSTBN6ZT/ref=mweb_up_am_fl_st_na_un_up_sm_web" TargetMode="External"/><Relationship Id="rId183" Type="http://schemas.openxmlformats.org/officeDocument/2006/relationships/hyperlink" Target="https://www.amazon.co.uk/dp/B0GTKBV5CS/ref=mweb_up_am_fl_st_na_un_up_sm_web" TargetMode="External"/><Relationship Id="rId182" Type="http://schemas.openxmlformats.org/officeDocument/2006/relationships/hyperlink" Target="https://detail.1688.com/offer/855207662245.html?spm=a26352.b28411319/2508.0.0" TargetMode="External"/><Relationship Id="rId181" Type="http://schemas.openxmlformats.org/officeDocument/2006/relationships/hyperlink" Target="https://detail.1688.com/offer/1041123253340.html?spm=a26352.b28411319/2508.0.0&amp;cosite=-&amp;tracelog=p4p&amp;_p_isad=1&amp;clickid=17d4a5c876324624905a290c1c843a00&amp;sessionid=2f74c9572f5e45718875c5401e6b149e" TargetMode="External"/><Relationship Id="rId180" Type="http://schemas.openxmlformats.org/officeDocument/2006/relationships/hyperlink" Target="https://www.amazon.co.uk/dp/B0FXDXTYDF/ref=mweb_up_am_fl_st_na_un_up_sm_web" TargetMode="External"/><Relationship Id="rId18" Type="http://schemas.openxmlformats.org/officeDocument/2006/relationships/hyperlink" Target="https://www.amazon.co.uk/dp/B0GXJB2MJ6" TargetMode="External"/><Relationship Id="rId179" Type="http://schemas.openxmlformats.org/officeDocument/2006/relationships/hyperlink" Target="https://www.amazon.co.uk/dp/B0FZKLXHDG/ref=mweb_up_am_fl_st_na_un_up_sm_web" TargetMode="External"/><Relationship Id="rId178" Type="http://schemas.openxmlformats.org/officeDocument/2006/relationships/hyperlink" Target="https://detail.1688.com/offer/651961583845.html?_t=1779962169104&amp;spm=a2615.7691456/2506.co_0_0_wangpu_score_0_0_0_0_1_0_0000_0.0" TargetMode="External"/><Relationship Id="rId177" Type="http://schemas.openxmlformats.org/officeDocument/2006/relationships/hyperlink" Target="https://www.amazon.co.uk/dp/B0GTVB18JW?psc=1" TargetMode="External"/><Relationship Id="rId176" Type="http://schemas.openxmlformats.org/officeDocument/2006/relationships/hyperlink" Target="https://detail.1688.com/offer/1048038705216.html?spm=a21i7k.1688_web_im.chatboxOD.0" TargetMode="External"/><Relationship Id="rId175" Type="http://schemas.openxmlformats.org/officeDocument/2006/relationships/hyperlink" Target="https://www.amazon.co.uk/dp/B0GVW521ZL/ref=mweb_up_am_fl_st_na_un_up_sm_web" TargetMode="External"/><Relationship Id="rId174" Type="http://schemas.openxmlformats.org/officeDocument/2006/relationships/hyperlink" Target="https://www.amazon.co.uk/dp/B0GSP8WPVD/ref=mweb_up_am_fl_st_na_un_up_sm_web" TargetMode="External"/><Relationship Id="rId173" Type="http://schemas.openxmlformats.org/officeDocument/2006/relationships/hyperlink" Target="https://detail.1688.com/offer/801456617623.html?spm=a26352.b28411319/2508.0.0" TargetMode="External"/><Relationship Id="rId172" Type="http://schemas.openxmlformats.org/officeDocument/2006/relationships/hyperlink" Target="https://www.amazon.co.uk/dp/B0GW88VGDC/ref=mweb_up_am_fl_st_na_un_up_sm_web" TargetMode="External"/><Relationship Id="rId171" Type="http://schemas.openxmlformats.org/officeDocument/2006/relationships/hyperlink" Target="https://www.amazon.co.uk/dp/B0GVCPP1XM?psc=1" TargetMode="External"/><Relationship Id="rId170" Type="http://schemas.openxmlformats.org/officeDocument/2006/relationships/hyperlink" Target="https://detail.1688.com/offer/915059188064.html?spm=a26352.b28411319/2508.0.0" TargetMode="External"/><Relationship Id="rId17" Type="http://schemas.openxmlformats.org/officeDocument/2006/relationships/hyperlink" Target="https://detail.1688.com/offer/1043329327818.html?spm" TargetMode="External"/><Relationship Id="rId169" Type="http://schemas.openxmlformats.org/officeDocument/2006/relationships/hyperlink" Target="https://www.amazon.co.uk/dp/B0GK7ZPWFF/ref=mweb_up_am_fl_st_na_un_up_sm_web" TargetMode="External"/><Relationship Id="rId168" Type="http://schemas.openxmlformats.org/officeDocument/2006/relationships/hyperlink" Target="https://www.amazon.de/dp/B0G1STHG5C/ref=mweb_up_am_fl_st_na_un_up_sm_web?th=1" TargetMode="External"/><Relationship Id="rId167" Type="http://schemas.openxmlformats.org/officeDocument/2006/relationships/hyperlink" Target="https://www.amazon.co.uk/stylesnap?q=https%3A%2F%2Fm.media-amazon.com%2Fimages%2FI%2F71zr3CmPpIL._ACSX300_QL70_ML2_.jpg" TargetMode="External"/><Relationship Id="rId166" Type="http://schemas.openxmlformats.org/officeDocument/2006/relationships/hyperlink" Target="https://www.amazon.co.uk/stylesnap?q=https%3A%2F%2Fm.media-amazon.com%2Fimages%2FI%2F71dtbYpWkLL.jpg" TargetMode="External"/><Relationship Id="rId165" Type="http://schemas.openxmlformats.org/officeDocument/2006/relationships/hyperlink" Target="https://www.amazon.co.uk/dp/B0GJ5W3VZT/ref=mweb_up_am_fl_st_na_un_up_sm_web" TargetMode="External"/><Relationship Id="rId164" Type="http://schemas.openxmlformats.org/officeDocument/2006/relationships/hyperlink" Target="https://detail.1688.com/offer/1025633467531.html" TargetMode="External"/><Relationship Id="rId163" Type="http://schemas.openxmlformats.org/officeDocument/2006/relationships/hyperlink" Target="https://detail.1688.com/offer/951253427337.html" TargetMode="External"/><Relationship Id="rId162" Type="http://schemas.openxmlformats.org/officeDocument/2006/relationships/hyperlink" Target="https://www.amazon.co.uk/dp/B0GHY5Q3NX/ref=mweb_up_am_fl_st_na_un_up_sm_web?th=1" TargetMode="External"/><Relationship Id="rId161" Type="http://schemas.openxmlformats.org/officeDocument/2006/relationships/hyperlink" Target="https://detail.1688.com/offer/1043915147151.html" TargetMode="External"/><Relationship Id="rId160" Type="http://schemas.openxmlformats.org/officeDocument/2006/relationships/hyperlink" Target="https://www.amazon.co.uk/dp/B0FK4WF4DP?th=1" TargetMode="External"/><Relationship Id="rId16" Type="http://schemas.openxmlformats.org/officeDocument/2006/relationships/hyperlink" Target="https://detail.1688.com/offer/1044035769590.html?spm" TargetMode="External"/><Relationship Id="rId159" Type="http://schemas.openxmlformats.org/officeDocument/2006/relationships/hyperlink" Target="https://www.amazon.co.uk/dp/B0FN7Z6C9M?th=1" TargetMode="External"/><Relationship Id="rId158" Type="http://schemas.openxmlformats.org/officeDocument/2006/relationships/hyperlink" Target="https://www.amazon.co.uk/stylesnap?q=https%3A%2F%2Fm.media-amazon.com%2Fimages%2FI%2F61BUpvUBhML.jpg" TargetMode="External"/><Relationship Id="rId157" Type="http://schemas.openxmlformats.org/officeDocument/2006/relationships/hyperlink" Target="https://detail.1688.com/offer/1032820518195.html" TargetMode="External"/><Relationship Id="rId156" Type="http://schemas.openxmlformats.org/officeDocument/2006/relationships/hyperlink" Target="https://www.amazon.co.uk/dp/B0D6K8M9HY/ref=mweb_up_am_fl_st_na_un_up_sm_web?th=1" TargetMode="External"/><Relationship Id="rId155" Type="http://schemas.openxmlformats.org/officeDocument/2006/relationships/hyperlink" Target="https://www.amazon.co.uk/dp/B0GFW8J6CD?psc=1" TargetMode="External"/><Relationship Id="rId154" Type="http://schemas.openxmlformats.org/officeDocument/2006/relationships/hyperlink" Target="https://detail.1688.com/offer/751795404525.html?spm" TargetMode="External"/><Relationship Id="rId153" Type="http://schemas.openxmlformats.org/officeDocument/2006/relationships/hyperlink" Target="https://www.amazon.co.uk/stylesnap?q=https%3A%2F%2Fm.media-amazon.com%2Fimages%2FI%2F81fMQiEZCYL.jpg" TargetMode="External"/><Relationship Id="rId152" Type="http://schemas.openxmlformats.org/officeDocument/2006/relationships/hyperlink" Target="https://www.amazon.co.uk/stylesnap?q=https%3A%2F%2Fm.media-amazon.com%2Fimages%2FI%2F71se8PzBKYL.jpg" TargetMode="External"/><Relationship Id="rId151" Type="http://schemas.openxmlformats.org/officeDocument/2006/relationships/hyperlink" Target="https://detail.1688.com/offer/856702363779.html" TargetMode="External"/><Relationship Id="rId150" Type="http://schemas.openxmlformats.org/officeDocument/2006/relationships/hyperlink" Target="https://www.amazon.co.uk/dp/B0BMPSN47M/ref=mweb_up_am_fl_st_na_un_up_sm_web?th=1" TargetMode="External"/><Relationship Id="rId15" Type="http://schemas.openxmlformats.org/officeDocument/2006/relationships/hyperlink" Target="https://detail.1688.com/offer/1052769407610.html?spm" TargetMode="External"/><Relationship Id="rId149" Type="http://schemas.openxmlformats.org/officeDocument/2006/relationships/hyperlink" Target="https://www.amazon.co.uk/dp/B0GKV6GRF2?psc=1" TargetMode="External"/><Relationship Id="rId148" Type="http://schemas.openxmlformats.org/officeDocument/2006/relationships/hyperlink" Target="https://detail.1688.com/offer/842233349277.html" TargetMode="External"/><Relationship Id="rId147" Type="http://schemas.openxmlformats.org/officeDocument/2006/relationships/hyperlink" Target="https://detail.1688.com/offer/1047066251731.html" TargetMode="External"/><Relationship Id="rId146" Type="http://schemas.openxmlformats.org/officeDocument/2006/relationships/hyperlink" Target="https://www.amazon.co.uk/dp/B0FNFV89PK/ref=mweb_up_am_fl_st_na_un_up_sm_web?th=1" TargetMode="External"/><Relationship Id="rId145" Type="http://schemas.openxmlformats.org/officeDocument/2006/relationships/hyperlink" Target="https://www.amazon.co.uk/stylesnap?q=https%3A%2F%2Fm.media-amazon.com%2Fimages%2FI%2F81dXRXMnAYL.jpg" TargetMode="External"/><Relationship Id="rId144" Type="http://schemas.openxmlformats.org/officeDocument/2006/relationships/hyperlink" Target="https://www.amazon.co.uk/stylesnap?q=https%3A%2F%2Fm.media-amazon.com%2Fimages%2FI%2F81Fox-dNFRL.jpg" TargetMode="External"/><Relationship Id="rId143" Type="http://schemas.openxmlformats.org/officeDocument/2006/relationships/hyperlink" Target="https://www.amazon.co.uk/Toddlers-Refrigerator-Whiteboard-Educational-Preschool/dp/B0GVRFXL67" TargetMode="External"/><Relationship Id="rId142" Type="http://schemas.openxmlformats.org/officeDocument/2006/relationships/hyperlink" Target="https://detail.1688.com/offer/1029709685589.html" TargetMode="External"/><Relationship Id="rId141" Type="http://schemas.openxmlformats.org/officeDocument/2006/relationships/hyperlink" Target="https://detail.1688.com/offer/1047923875703.html" TargetMode="External"/><Relationship Id="rId140" Type="http://schemas.openxmlformats.org/officeDocument/2006/relationships/hyperlink" Target="https://www.amazon.co.uk/dp/B0GHJ3WDTR/ref=mweb_up_am_fl_st_na_un_up_sm_web" TargetMode="External"/><Relationship Id="rId14" Type="http://schemas.openxmlformats.org/officeDocument/2006/relationships/hyperlink" Target="https://www.amazon.com/dp/B0GXKCFFPY" TargetMode="External"/><Relationship Id="rId139" Type="http://schemas.openxmlformats.org/officeDocument/2006/relationships/hyperlink" Target="https://www.amazon.de/-/en/Aurelx/dp/B0GV45HRPD" TargetMode="External"/><Relationship Id="rId138" Type="http://schemas.openxmlformats.org/officeDocument/2006/relationships/hyperlink" Target="https://www.amazon.co.uk/dp/B0GS1S1Y66/ref=mweb_up_am_fl_st_na_un_up_sm_web?th=1" TargetMode="External"/><Relationship Id="rId137" Type="http://schemas.openxmlformats.org/officeDocument/2006/relationships/hyperlink" Target="https://detail.1688.com/offer/949826443227.html" TargetMode="External"/><Relationship Id="rId136" Type="http://schemas.openxmlformats.org/officeDocument/2006/relationships/hyperlink" Target="https://www.amazon.co.uk/dp/B0GS1RVBHM/ref=mweb_up_am_fl_st_na_un_up_sm_web?th=1" TargetMode="External"/><Relationship Id="rId135" Type="http://schemas.openxmlformats.org/officeDocument/2006/relationships/hyperlink" Target="https://detail.1688.com/offer/910653782229.html" TargetMode="External"/><Relationship Id="rId134" Type="http://schemas.openxmlformats.org/officeDocument/2006/relationships/hyperlink" Target="https://detail.1688.com/offer/913869787083.html" TargetMode="External"/><Relationship Id="rId133" Type="http://schemas.openxmlformats.org/officeDocument/2006/relationships/hyperlink" Target="https://www.amazon.co.uk/dp/B0GJS716QK?psc=1" TargetMode="External"/><Relationship Id="rId132" Type="http://schemas.openxmlformats.org/officeDocument/2006/relationships/hyperlink" Target="https://detail.1688.com/offer/550083498444.html" TargetMode="External"/><Relationship Id="rId131" Type="http://schemas.openxmlformats.org/officeDocument/2006/relationships/hyperlink" Target="https://detail.1688.com/offer/1038805482906.html" TargetMode="External"/><Relationship Id="rId130" Type="http://schemas.openxmlformats.org/officeDocument/2006/relationships/hyperlink" Target="https://detail.1688.com/offer/746002238261.html" TargetMode="External"/><Relationship Id="rId13" Type="http://schemas.openxmlformats.org/officeDocument/2006/relationships/hyperlink" Target="https://www.amazon.com/shopthelook?q=https%3A%2F%2Fm.media-amazon.com%2Fimages%2FI%2F71Czsk8ZmDL._AC.jpg" TargetMode="External"/><Relationship Id="rId129" Type="http://schemas.openxmlformats.org/officeDocument/2006/relationships/hyperlink" Target="https://www.amazon.co.uk/stylesnap?q=https%3A%2F%2Fm.media-amazon.com%2Fimages%2FI%2F41Zgvy2TZ5L.jpg" TargetMode="External"/><Relationship Id="rId128" Type="http://schemas.openxmlformats.org/officeDocument/2006/relationships/hyperlink" Target="https://www.amazon.co.uk/dp/B0FH6GYTJP/ref=mweb_up_am_fl_st_na_un_up_sm_web" TargetMode="External"/><Relationship Id="rId127" Type="http://schemas.openxmlformats.org/officeDocument/2006/relationships/hyperlink" Target="https://www.amazon.co.uk/dp/B0CT7VP1YL/ref=mweb_up_am_fl_st_na_un_up_sm_web?th=1" TargetMode="External"/><Relationship Id="rId126" Type="http://schemas.openxmlformats.org/officeDocument/2006/relationships/hyperlink" Target="https://www.amazon.co.uk/stylesnap?q=https%3A%2F%2Fm.media-amazon.com%2Fimages%2FI%2F71BN2TkmfXL._AC.jpg" TargetMode="External"/><Relationship Id="rId125" Type="http://schemas.openxmlformats.org/officeDocument/2006/relationships/hyperlink" Target="https://www.amazon.co.uk/dp/B0DK6FZ2SR/ref" TargetMode="External"/><Relationship Id="rId124" Type="http://schemas.openxmlformats.org/officeDocument/2006/relationships/hyperlink" Target="https://www.amazon.co.uk/dp/B0FHJQQV3H/ref" TargetMode="External"/><Relationship Id="rId123" Type="http://schemas.openxmlformats.org/officeDocument/2006/relationships/hyperlink" Target="https://detail.1688.com/offer/1055060553880.html?spm" TargetMode="External"/><Relationship Id="rId122" Type="http://schemas.openxmlformats.org/officeDocument/2006/relationships/hyperlink" Target="https://detail.1688.com/offer/1054478188684.html?spm" TargetMode="External"/><Relationship Id="rId121" Type="http://schemas.openxmlformats.org/officeDocument/2006/relationships/hyperlink" Target="https://www.amazon.co.uk/stylesnap?q=https%3A%2F%2Fm.media-amazon.com%2Fimages%2FI%2F61hzcNaCpqL.jpg" TargetMode="External"/><Relationship Id="rId120" Type="http://schemas.openxmlformats.org/officeDocument/2006/relationships/hyperlink" Target="https://www.amazon.co.uk/dp/B0H25V983K?th=1&amp;psc=1" TargetMode="External"/><Relationship Id="rId12" Type="http://schemas.openxmlformats.org/officeDocument/2006/relationships/hyperlink" Target="https://www.amazon.co.uk/Cunegra-Necklace-Bouquet-Pendant-Mothers/dp/B0GZ3W5HDN" TargetMode="External"/><Relationship Id="rId119" Type="http://schemas.openxmlformats.org/officeDocument/2006/relationships/hyperlink" Target="https://www.amazon.co.uk/dp/B0H2MC339V?th=1" TargetMode="External"/><Relationship Id="rId118" Type="http://schemas.openxmlformats.org/officeDocument/2006/relationships/hyperlink" Target="https://detail.1688.com/offer/1015573912033.html?spm" TargetMode="External"/><Relationship Id="rId117" Type="http://schemas.openxmlformats.org/officeDocument/2006/relationships/hyperlink" Target="https://www.amazon.co.uk/dp/B0GFWDNZJS?th=1" TargetMode="External"/><Relationship Id="rId116" Type="http://schemas.openxmlformats.org/officeDocument/2006/relationships/hyperlink" Target="https://www.amazon.co.uk/dp/B0GT3T6HVC?th=1" TargetMode="External"/><Relationship Id="rId115" Type="http://schemas.openxmlformats.org/officeDocument/2006/relationships/hyperlink" Target="https://www.amazon.co.uk/stylesnap?q=https%3A%2F%2Fm.media-amazon.com%2Fimages%2FI%2F61I6q423dBL.jpg" TargetMode="External"/><Relationship Id="rId114" Type="http://schemas.openxmlformats.org/officeDocument/2006/relationships/hyperlink" Target="https://www.amazon.co.uk/dp/B0FPQPNXGJ" TargetMode="External"/><Relationship Id="rId113" Type="http://schemas.openxmlformats.org/officeDocument/2006/relationships/hyperlink" Target="https://www.amazon.co.uk/dp/B0GQZBY67K" TargetMode="External"/><Relationship Id="rId112" Type="http://schemas.openxmlformats.org/officeDocument/2006/relationships/hyperlink" Target="https://detail.1688.com/offer/842212598948.html?_t" TargetMode="External"/><Relationship Id="rId111" Type="http://schemas.openxmlformats.org/officeDocument/2006/relationships/hyperlink" Target="https://www.amazon.co.uk/dp/B0DSFFWGLP?psc=1" TargetMode="External"/><Relationship Id="rId110" Type="http://schemas.openxmlformats.org/officeDocument/2006/relationships/hyperlink" Target="https://detail.1688.com/offer/1045288037552.html?spm" TargetMode="External"/><Relationship Id="rId11" Type="http://schemas.openxmlformats.org/officeDocument/2006/relationships/hyperlink" Target="https://www.amazon.co.uk/stylesnap?q=https%3A%2F%2Fm.media-amazon.com%2Fimages%2FI%2F71nImuB%2B31L._ACSX300_QL70_ML2_.jpg" TargetMode="External"/><Relationship Id="rId109" Type="http://schemas.openxmlformats.org/officeDocument/2006/relationships/hyperlink" Target="https://detail.1688.com/offer/1052832871120.html?spm=a28888.success.0.0.63a17e926u1OPm" TargetMode="External"/><Relationship Id="rId108" Type="http://schemas.openxmlformats.org/officeDocument/2006/relationships/hyperlink" Target="https://www.amazon.co.uk/dp/B0GRGCBDPG" TargetMode="External"/><Relationship Id="rId107" Type="http://schemas.openxmlformats.org/officeDocument/2006/relationships/hyperlink" Target="https://detail.1688.com/offer/1047482133108.html?spm" TargetMode="External"/><Relationship Id="rId106" Type="http://schemas.openxmlformats.org/officeDocument/2006/relationships/hyperlink" Target="https://www.amazon.co.uk/dp/B0F66J29FN" TargetMode="External"/><Relationship Id="rId105" Type="http://schemas.openxmlformats.org/officeDocument/2006/relationships/hyperlink" Target="https://www.amazon.co.uk/dp/B0GYRRN47M?psc=1" TargetMode="External"/><Relationship Id="rId104" Type="http://schemas.openxmlformats.org/officeDocument/2006/relationships/hyperlink" Target="https://detail.1688.com/offer/894171971205.html?spm" TargetMode="External"/><Relationship Id="rId103" Type="http://schemas.openxmlformats.org/officeDocument/2006/relationships/hyperlink" Target="https://www.amazon.co.uk/stylesnap?q=https%3A%2F%2Fm.media-amazon.com%2Fimages%2FI%2F81p3xxFTrJL.jpg" TargetMode="External"/><Relationship Id="rId102" Type="http://schemas.openxmlformats.org/officeDocument/2006/relationships/hyperlink" Target="https://www.amazon.co.uk/dp/B0GQL8LVXZ?psc=1" TargetMode="External"/><Relationship Id="rId101" Type="http://schemas.openxmlformats.org/officeDocument/2006/relationships/hyperlink" Target="https://www.amazon.co.uk/stylesnap?q=https%3A%2F%2Fm.media-amazon.com%2Fimages%2FI%2F71TiJT2SDgL.jpg" TargetMode="External"/><Relationship Id="rId100" Type="http://schemas.openxmlformats.org/officeDocument/2006/relationships/hyperlink" Target="https://www.amazon.co.uk/dp/B0GN2SYCDK?th=1" TargetMode="External"/><Relationship Id="rId10" Type="http://schemas.openxmlformats.org/officeDocument/2006/relationships/hyperlink" Target="https://www.amazon.co.uk/dp/B0G3XLVGNT" TargetMode="External"/><Relationship Id="rId1" Type="http://schemas.openxmlformats.org/officeDocument/2006/relationships/hyperlink" Target="https://detail.1688.com/offer/971764513990.html?_t=1764220962551&amp;spm" TargetMode="External"/></Relationships>
</file>

<file path=xl/worksheets/_rels/sheet2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amazon.co.uk/dp/B0G8YM36C6" TargetMode="External"/><Relationship Id="rId8" Type="http://schemas.openxmlformats.org/officeDocument/2006/relationships/hyperlink" Target="https://www.amazon.de/-/en/Catcher-Decoration-Housewarming-Birthday-Monstera/dp/B0GHQ5PS9V" TargetMode="External"/><Relationship Id="rId7" Type="http://schemas.openxmlformats.org/officeDocument/2006/relationships/hyperlink" Target="https://www.amazon.co.uk/stylesnap?q=https%3A%2F%2Fm.media-amazon.com%2Fimages%2FI%2F817clLUHR-L.jpg" TargetMode="External"/><Relationship Id="rId6" Type="http://schemas.openxmlformats.org/officeDocument/2006/relationships/hyperlink" Target="https://detail.1688.com/offer/895790509087.html?_t=1765423106932&amp;spm" TargetMode="External"/><Relationship Id="rId52" Type="http://schemas.openxmlformats.org/officeDocument/2006/relationships/hyperlink" Target="https://detail.1688.com/offer/1052832871120.html?spm=a28888.success.0.0.63a17e926u1OPm" TargetMode="External"/><Relationship Id="rId51" Type="http://schemas.openxmlformats.org/officeDocument/2006/relationships/hyperlink" Target="https://www.amazon.de/dp/B0GY3RCR8N" TargetMode="External"/><Relationship Id="rId50" Type="http://schemas.openxmlformats.org/officeDocument/2006/relationships/hyperlink" Target="https://detail.1688.com/offer/1040475039783.html?spm" TargetMode="External"/><Relationship Id="rId5" Type="http://schemas.openxmlformats.org/officeDocument/2006/relationships/hyperlink" Target="https://detail.1688.com/offer/925692413717.html" TargetMode="External"/><Relationship Id="rId49" Type="http://schemas.openxmlformats.org/officeDocument/2006/relationships/hyperlink" Target="https://www.amazon.de/shopthelook?q=https%3A%2F%2Fm.media-amazon.com%2Fimages%2FI%2F61VmWMvCMtL._ACSX300_QL70_ML2_.jpg" TargetMode="External"/><Relationship Id="rId48" Type="http://schemas.openxmlformats.org/officeDocument/2006/relationships/hyperlink" Target="https://www.amazon.de/dp/B0GSYGP66X/ref" TargetMode="External"/><Relationship Id="rId47" Type="http://schemas.openxmlformats.org/officeDocument/2006/relationships/hyperlink" Target="https://www.amazon.de/dp/B0GWQ3WNH4/ref" TargetMode="External"/><Relationship Id="rId46" Type="http://schemas.openxmlformats.org/officeDocument/2006/relationships/hyperlink" Target="https://detail.1688.com/offer/832689536027.html?spm" TargetMode="External"/><Relationship Id="rId45" Type="http://schemas.openxmlformats.org/officeDocument/2006/relationships/hyperlink" Target="https://www.amazon.de/shopthelook?q=https%3A%2F%2Fm.media-amazon.com%2Fimages%2FI%2F81idmAEC0rL._AC.jpg" TargetMode="External"/><Relationship Id="rId44" Type="http://schemas.openxmlformats.org/officeDocument/2006/relationships/hyperlink" Target="https://www.amazon.de/dp/B0GQ3148TQ" TargetMode="External"/><Relationship Id="rId43" Type="http://schemas.openxmlformats.org/officeDocument/2006/relationships/hyperlink" Target="https://www.amazon.de/stylesnap?q=https%3A%2F%2Fm.media-amazon.com%2Fimages%2FI%2F61OgogJEyHL.jpg" TargetMode="External"/><Relationship Id="rId42" Type="http://schemas.openxmlformats.org/officeDocument/2006/relationships/hyperlink" Target="https://detail.1688.com/offer/1049736361929.html?spm=a26352.b28411319/2508.0.0" TargetMode="External"/><Relationship Id="rId41" Type="http://schemas.openxmlformats.org/officeDocument/2006/relationships/hyperlink" Target="https://www.amazon.de/stylesnap?q=https://m.media-amazon.com/images/I/61KpplbbRAL.jpg" TargetMode="External"/><Relationship Id="rId40" Type="http://schemas.openxmlformats.org/officeDocument/2006/relationships/hyperlink" Target="https://www.amazon.de/dp/B0GVN56R7B/ref=mweb_up_am_fl_st_na_un_up_sm_web" TargetMode="External"/><Relationship Id="rId4" Type="http://schemas.openxmlformats.org/officeDocument/2006/relationships/hyperlink" Target="https://detail.1688.com/offer/971764513990.html?_t=1764220962551&amp;spm" TargetMode="External"/><Relationship Id="rId39" Type="http://schemas.openxmlformats.org/officeDocument/2006/relationships/hyperlink" Target="https://www.amazon.de/dp/B0GRSWDVC8/ref=mweb_up_am_fl_st_na_un_up_sm_web" TargetMode="External"/><Relationship Id="rId38" Type="http://schemas.openxmlformats.org/officeDocument/2006/relationships/hyperlink" Target="https://detail.1688.com/offer/794146130402.html" TargetMode="External"/><Relationship Id="rId37" Type="http://schemas.openxmlformats.org/officeDocument/2006/relationships/hyperlink" Target="https://detail.1688.com/offer/1019466895324.html?offerId=1019466895324&amp;hotSaleSkuId=6196800603920&amp;spm" TargetMode="External"/><Relationship Id="rId36" Type="http://schemas.openxmlformats.org/officeDocument/2006/relationships/hyperlink" Target="https://detail.1688.com/offer/1005077700096.html?spm" TargetMode="External"/><Relationship Id="rId35" Type="http://schemas.openxmlformats.org/officeDocument/2006/relationships/hyperlink" Target="https://www.amazon.de/shopthelook?q=https%3A%2F%2Fm.media-amazon.com%2Fimages%2FI%2F81G4gt9x2AL._AC_SL1500_.jpg" TargetMode="External"/><Relationship Id="rId34" Type="http://schemas.openxmlformats.org/officeDocument/2006/relationships/hyperlink" Target="https://www.amazon.de/dp/B0GHLJMLMW" TargetMode="External"/><Relationship Id="rId33" Type="http://schemas.openxmlformats.org/officeDocument/2006/relationships/hyperlink" Target="https://www.amazon.de/dp/B0GVRSFTDG" TargetMode="External"/><Relationship Id="rId32" Type="http://schemas.openxmlformats.org/officeDocument/2006/relationships/hyperlink" Target="https://www.amazon.de/dp/B0GZYW5SNX" TargetMode="External"/><Relationship Id="rId31" Type="http://schemas.openxmlformats.org/officeDocument/2006/relationships/hyperlink" Target="https://www.amazon.co.uk/dp/B0GTYYKJHQ" TargetMode="External"/><Relationship Id="rId30" Type="http://schemas.openxmlformats.org/officeDocument/2006/relationships/hyperlink" Target="https://www.amazon.de/dp/B0FPLG6PXZ" TargetMode="External"/><Relationship Id="rId3" Type="http://schemas.openxmlformats.org/officeDocument/2006/relationships/hyperlink" Target="https://www.amazon.de/shopthelook?q=https%3A%2F%2Fm.media-amazon.com%2Fimages%2FI%2F618Gwvk0qcL._ACPIbundle-2%2CTopRight%2C0%2C0_SH20_.jpg" TargetMode="External"/><Relationship Id="rId29" Type="http://schemas.openxmlformats.org/officeDocument/2006/relationships/hyperlink" Target="https://www.amazon.co.uk/dp/B0GWQ6DKGS" TargetMode="External"/><Relationship Id="rId28" Type="http://schemas.openxmlformats.org/officeDocument/2006/relationships/hyperlink" Target="https://detail.1688.com/offer/1053814113913.html?spm" TargetMode="External"/><Relationship Id="rId27" Type="http://schemas.openxmlformats.org/officeDocument/2006/relationships/hyperlink" Target="https://www.amazon.de/stylesnap?q=https%3A%2F%2Fm.media-amazon.com%2Fimages%2FI%2F71Y0YcMIVHL.jpg" TargetMode="External"/><Relationship Id="rId26" Type="http://schemas.openxmlformats.org/officeDocument/2006/relationships/hyperlink" Target="https://www.amazon.de/dp/B0F93QBQR2/ref=mweb_up_am_fl_st_na_un_up_sm_web?th=1" TargetMode="External"/><Relationship Id="rId25" Type="http://schemas.openxmlformats.org/officeDocument/2006/relationships/hyperlink" Target="https://www.amazon.de/dp/B0GCLXHQB9" TargetMode="External"/><Relationship Id="rId24" Type="http://schemas.openxmlformats.org/officeDocument/2006/relationships/hyperlink" Target="https://www.amazon.de/stylesnap?q=https%3A%2F%2Fm.media-amazon.com%2Fimages%2FI%2F816PBCIwN6L.jpg" TargetMode="External"/><Relationship Id="rId23" Type="http://schemas.openxmlformats.org/officeDocument/2006/relationships/hyperlink" Target="https://www.amazon.de/shopthelook?q=https%3A%2F%2Fm.media-amazon.com%2Fimages%2FI%2F817clLUHR-L._SL400_.jpg" TargetMode="External"/><Relationship Id="rId22" Type="http://schemas.openxmlformats.org/officeDocument/2006/relationships/hyperlink" Target="https://www.amazon.de/shopthelook?q=https%3A%2F%2Fm.media-amazon.com%2Fimages%2FI%2F51l537PBoWL._AC.jpg" TargetMode="External"/><Relationship Id="rId21" Type="http://schemas.openxmlformats.org/officeDocument/2006/relationships/hyperlink" Target="https://www.amazon.co.uk/dp/B0FCSM7Q6M/ref=mweb_up_am_fl_st_na_un_up_sm_web" TargetMode="External"/><Relationship Id="rId20" Type="http://schemas.openxmlformats.org/officeDocument/2006/relationships/hyperlink" Target="https://www.amazon.co.uk/dp/B0FGXJLH2S" TargetMode="External"/><Relationship Id="rId2" Type="http://schemas.openxmlformats.org/officeDocument/2006/relationships/hyperlink" Target="https://www.amazon.de/dp/B0GR93KYK5" TargetMode="External"/><Relationship Id="rId19" Type="http://schemas.openxmlformats.org/officeDocument/2006/relationships/hyperlink" Target="https://www.amazon.de/stylesnap?q=https%3A%2F%2Fm.media-amazon.com%2Fimages%2FI%2F81nMcpcvmZL.jpg" TargetMode="External"/><Relationship Id="rId18" Type="http://schemas.openxmlformats.org/officeDocument/2006/relationships/hyperlink" Target="https://www.amazon.de/-/en/Suncatcher-Stained-Acrylic-Decoration-Christian/dp/B0GTTN4CVY" TargetMode="External"/><Relationship Id="rId17" Type="http://schemas.openxmlformats.org/officeDocument/2006/relationships/hyperlink" Target="https://www.amazon.de/shopthelook?q=https%3A%2F%2Fm.media-amazon.com%2Fimages%2FI%2F816MhTzrO4L._SL400_.jpg" TargetMode="External"/><Relationship Id="rId16" Type="http://schemas.openxmlformats.org/officeDocument/2006/relationships/hyperlink" Target="https://www.amazon.de/dp/B0GGGY189B/ref=mweb_up_am_fl_st_na_un_up_sm_web?th=1" TargetMode="External"/><Relationship Id="rId15" Type="http://schemas.openxmlformats.org/officeDocument/2006/relationships/hyperlink" Target="https://www.amazon.de/shopthelook?q=https%3A%2F%2Fm.media-amazon.com%2Fimages%2FI%2F811diLETRBL._AC.jpg" TargetMode="External"/><Relationship Id="rId14" Type="http://schemas.openxmlformats.org/officeDocument/2006/relationships/hyperlink" Target="https://www.amazon.de/dp/B0GDXXFN17/ref=mweb_up_am_fl_st_na_un_up_sm_web?th=1" TargetMode="External"/><Relationship Id="rId13" Type="http://schemas.openxmlformats.org/officeDocument/2006/relationships/hyperlink" Target="https://www.amazon.de/dp/B0FW562139/ref=mweb_up_am_fl_st_na_un_up_sm_web?th=1" TargetMode="External"/><Relationship Id="rId12" Type="http://schemas.openxmlformats.org/officeDocument/2006/relationships/hyperlink" Target="https://www.amazon.de/shopthelook?q=https%3A%2F%2Fm.media-amazon.com%2Fimages%2FI%2F71TKs9DNGKL._AC.jpg" TargetMode="External"/><Relationship Id="rId11" Type="http://schemas.openxmlformats.org/officeDocument/2006/relationships/hyperlink" Target="https://www.amazon.co.uk/dp/B0GHD4CYRG" TargetMode="External"/><Relationship Id="rId10" Type="http://schemas.openxmlformats.org/officeDocument/2006/relationships/hyperlink" Target="https://www.amazon.co.uk/dp/B0G8YQHMZD" TargetMode="External"/><Relationship Id="rId1" Type="http://schemas.openxmlformats.org/officeDocument/2006/relationships/hyperlink" Target="https://detail.1688.com/offer/960458601653.html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X133"/>
  <sheetViews>
    <sheetView tabSelected="1" topLeftCell="AL1" workbookViewId="0">
      <pane ySplit="3" topLeftCell="A119" activePane="bottomLeft" state="frozen"/>
      <selection/>
      <selection pane="bottomLeft" activeCell="BA122" sqref="BA122"/>
    </sheetView>
  </sheetViews>
  <sheetFormatPr defaultColWidth="9" defaultRowHeight="13.5"/>
  <cols>
    <col min="2" max="2" width="12.85" customWidth="1"/>
    <col min="4" max="4" width="15.5333333333333" customWidth="1"/>
    <col min="6" max="6" width="10.7166666666667" customWidth="1"/>
    <col min="7" max="7" width="10.5333333333333" customWidth="1"/>
    <col min="16" max="16" width="9.25"/>
    <col min="19" max="19" width="9.25"/>
    <col min="46" max="46" width="17.5" customWidth="1"/>
    <col min="50" max="50" width="18.6083333333333"/>
  </cols>
  <sheetData>
    <row r="1" s="63" customFormat="1" ht="58" customHeight="1" spans="1:50">
      <c r="A1" s="64" t="s">
        <v>0</v>
      </c>
      <c r="B1" s="65"/>
      <c r="C1" s="66"/>
      <c r="D1" s="65"/>
      <c r="E1" s="66"/>
      <c r="F1" s="66"/>
      <c r="G1" s="66"/>
      <c r="H1" s="67"/>
      <c r="I1" s="67"/>
      <c r="J1" s="68"/>
      <c r="K1" s="68"/>
      <c r="L1" s="68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  <c r="AD1" s="65"/>
      <c r="AE1" s="65"/>
      <c r="AF1" s="65"/>
      <c r="AG1" s="65"/>
      <c r="AH1" s="65"/>
      <c r="AI1" s="65"/>
      <c r="AJ1" s="65"/>
      <c r="AK1" s="65"/>
      <c r="AL1" s="65"/>
      <c r="AM1" s="65"/>
      <c r="AN1" s="65"/>
      <c r="AO1" s="65"/>
      <c r="AP1" s="65"/>
      <c r="AQ1" s="65"/>
      <c r="AR1" s="65"/>
      <c r="AS1" s="65"/>
      <c r="AT1" s="65"/>
      <c r="AU1" s="65"/>
    </row>
    <row r="2" s="2" customFormat="1" ht="45" customHeight="1" spans="1:50">
      <c r="A2" s="6" t="s">
        <v>1</v>
      </c>
      <c r="B2" s="7" t="s">
        <v>2</v>
      </c>
      <c r="C2" s="8" t="s">
        <v>3</v>
      </c>
      <c r="D2" s="9" t="s">
        <v>4</v>
      </c>
      <c r="E2" s="7" t="s">
        <v>5</v>
      </c>
      <c r="F2" s="8" t="s">
        <v>6</v>
      </c>
      <c r="G2" s="7" t="s">
        <v>7</v>
      </c>
      <c r="H2" s="7" t="s">
        <v>8</v>
      </c>
      <c r="I2" s="8" t="s">
        <v>9</v>
      </c>
      <c r="J2" s="10" t="s">
        <v>10</v>
      </c>
      <c r="K2" s="10"/>
      <c r="L2" s="10"/>
      <c r="M2" s="11" t="s">
        <v>11</v>
      </c>
      <c r="N2" s="12" t="s">
        <v>12</v>
      </c>
      <c r="O2" s="13"/>
      <c r="P2" s="13"/>
      <c r="Q2" s="12" t="s">
        <v>13</v>
      </c>
      <c r="R2" s="13"/>
      <c r="S2" s="13"/>
      <c r="T2" s="14" t="s">
        <v>14</v>
      </c>
      <c r="U2" s="14" t="s">
        <v>15</v>
      </c>
      <c r="V2" s="15" t="s">
        <v>16</v>
      </c>
      <c r="W2" s="16" t="s">
        <v>17</v>
      </c>
      <c r="X2" s="14" t="s">
        <v>18</v>
      </c>
      <c r="Y2" s="14" t="s">
        <v>19</v>
      </c>
      <c r="Z2" s="14" t="s">
        <v>20</v>
      </c>
      <c r="AA2" s="15" t="s">
        <v>21</v>
      </c>
      <c r="AB2" s="14" t="s">
        <v>22</v>
      </c>
      <c r="AC2" s="14" t="s">
        <v>23</v>
      </c>
      <c r="AD2" s="14" t="s">
        <v>24</v>
      </c>
      <c r="AE2" s="17" t="s">
        <v>25</v>
      </c>
      <c r="AF2" s="18"/>
      <c r="AG2" s="19" t="s">
        <v>26</v>
      </c>
      <c r="AH2" s="20"/>
      <c r="AI2" s="19" t="s">
        <v>27</v>
      </c>
      <c r="AJ2" s="20"/>
      <c r="AK2" s="21" t="s">
        <v>28</v>
      </c>
      <c r="AL2" s="15"/>
      <c r="AM2" s="18" t="s">
        <v>29</v>
      </c>
      <c r="AN2" s="19" t="s">
        <v>30</v>
      </c>
      <c r="AO2" s="20"/>
      <c r="AP2" s="20"/>
      <c r="AQ2" s="21" t="s">
        <v>31</v>
      </c>
      <c r="AR2" s="10" t="s">
        <v>32</v>
      </c>
      <c r="AS2" s="22" t="s">
        <v>33</v>
      </c>
      <c r="AT2" s="22" t="s">
        <v>34</v>
      </c>
      <c r="AU2" s="22" t="s">
        <v>35</v>
      </c>
      <c r="AV2" s="10" t="s">
        <v>36</v>
      </c>
      <c r="AW2" s="10" t="s">
        <v>37</v>
      </c>
      <c r="AX2" s="10" t="s">
        <v>38</v>
      </c>
    </row>
    <row r="3" s="2" customFormat="1" ht="45" spans="1:50">
      <c r="A3" s="23"/>
      <c r="B3" s="8"/>
      <c r="C3" s="24"/>
      <c r="D3" s="24"/>
      <c r="E3" s="9"/>
      <c r="F3" s="24"/>
      <c r="G3" s="8"/>
      <c r="H3" s="8"/>
      <c r="I3" s="25"/>
      <c r="J3" s="26" t="s">
        <v>39</v>
      </c>
      <c r="K3" s="26" t="s">
        <v>40</v>
      </c>
      <c r="L3" s="26" t="s">
        <v>41</v>
      </c>
      <c r="M3" s="27"/>
      <c r="N3" s="28" t="s">
        <v>42</v>
      </c>
      <c r="O3" s="28" t="s">
        <v>43</v>
      </c>
      <c r="P3" s="28" t="s">
        <v>44</v>
      </c>
      <c r="Q3" s="28" t="s">
        <v>42</v>
      </c>
      <c r="R3" s="28" t="s">
        <v>43</v>
      </c>
      <c r="S3" s="28" t="s">
        <v>44</v>
      </c>
      <c r="T3" s="29"/>
      <c r="U3" s="29"/>
      <c r="V3" s="29"/>
      <c r="W3" s="30"/>
      <c r="X3" s="29"/>
      <c r="Y3" s="29"/>
      <c r="Z3" s="29"/>
      <c r="AA3" s="29"/>
      <c r="AB3" s="29"/>
      <c r="AC3" s="29"/>
      <c r="AD3" s="29"/>
      <c r="AE3" s="31" t="s">
        <v>45</v>
      </c>
      <c r="AF3" s="32" t="s">
        <v>46</v>
      </c>
      <c r="AG3" s="33" t="s">
        <v>47</v>
      </c>
      <c r="AH3" s="33" t="s">
        <v>48</v>
      </c>
      <c r="AI3" s="33" t="s">
        <v>47</v>
      </c>
      <c r="AJ3" s="33" t="s">
        <v>48</v>
      </c>
      <c r="AK3" s="32" t="s">
        <v>49</v>
      </c>
      <c r="AL3" s="32" t="s">
        <v>50</v>
      </c>
      <c r="AM3" s="34"/>
      <c r="AN3" s="33" t="s">
        <v>51</v>
      </c>
      <c r="AO3" s="33" t="s">
        <v>52</v>
      </c>
      <c r="AP3" s="33" t="s">
        <v>53</v>
      </c>
      <c r="AQ3" s="34"/>
      <c r="AR3" s="26"/>
      <c r="AS3" s="35"/>
      <c r="AT3" s="35"/>
      <c r="AU3" s="35"/>
      <c r="AV3" s="35"/>
      <c r="AW3" s="35"/>
      <c r="AX3" s="26"/>
    </row>
    <row r="4" s="4" customFormat="1" ht="79" customHeight="1" spans="1:50">
      <c r="A4" s="40">
        <v>1</v>
      </c>
      <c r="B4" s="37">
        <v>46175</v>
      </c>
      <c r="C4" s="38" t="s">
        <v>54</v>
      </c>
      <c r="D4" s="39">
        <v>2255881</v>
      </c>
      <c r="E4" s="40" t="s">
        <v>55</v>
      </c>
      <c r="F4" s="55"/>
      <c r="G4" s="56"/>
      <c r="H4" s="57" t="s">
        <v>56</v>
      </c>
      <c r="I4" s="57" t="s">
        <v>57</v>
      </c>
      <c r="J4" s="51" t="s">
        <v>58</v>
      </c>
      <c r="K4" s="51" t="s">
        <v>59</v>
      </c>
      <c r="L4" s="51" t="s">
        <v>60</v>
      </c>
      <c r="M4" s="69">
        <v>5.99</v>
      </c>
      <c r="N4" s="45">
        <f>M4-SUM(AF4+AH4+AK4+AL4+AM4+AN4+AQ4)</f>
        <v>1.58895667447307</v>
      </c>
      <c r="O4" s="46">
        <f>N4*U4</f>
        <v>13.56969</v>
      </c>
      <c r="P4" s="70">
        <f>N4/M4</f>
        <v>0.265268226122382</v>
      </c>
      <c r="Q4" s="45">
        <f>M4-SUM(AF4+AJ4+AK4+AL4+AM4+AN4+AO4+AP4+AQ4)</f>
        <v>1.79972950819672</v>
      </c>
      <c r="R4" s="46">
        <f>Q4*U4</f>
        <v>15.36969</v>
      </c>
      <c r="S4" s="71">
        <f>Q4/M4</f>
        <v>0.300455677495279</v>
      </c>
      <c r="T4" s="72" t="s">
        <v>61</v>
      </c>
      <c r="U4" s="72">
        <v>8.54</v>
      </c>
      <c r="V4" s="50">
        <v>0.2</v>
      </c>
      <c r="W4" s="50">
        <v>0.15</v>
      </c>
      <c r="X4" s="44">
        <v>20</v>
      </c>
      <c r="Y4" s="44">
        <v>20</v>
      </c>
      <c r="Z4" s="44">
        <v>0.5</v>
      </c>
      <c r="AA4" s="73">
        <f>(X4*Y4*Z4)/6000</f>
        <v>0.0333333333333333</v>
      </c>
      <c r="AB4" s="44">
        <v>0.06</v>
      </c>
      <c r="AC4" s="49">
        <v>45</v>
      </c>
      <c r="AD4" s="49">
        <v>15</v>
      </c>
      <c r="AE4" s="74">
        <v>4</v>
      </c>
      <c r="AF4" s="48">
        <f>AE4/U4</f>
        <v>0.468384074941452</v>
      </c>
      <c r="AG4" s="75">
        <f>AC4*MAX(AA4:AB4)</f>
        <v>2.7</v>
      </c>
      <c r="AH4" s="45">
        <f>AG4/U4</f>
        <v>0.31615925058548</v>
      </c>
      <c r="AI4" s="45">
        <f>AD4*MAX(AA4:AB4)</f>
        <v>0.9</v>
      </c>
      <c r="AJ4" s="45">
        <f>AI4/U4</f>
        <v>0.105386416861827</v>
      </c>
      <c r="AK4" s="48">
        <f>M4*W4</f>
        <v>0.8985</v>
      </c>
      <c r="AL4" s="44">
        <v>1.52</v>
      </c>
      <c r="AM4" s="45">
        <f>M4*V4</f>
        <v>1.198</v>
      </c>
      <c r="AN4" s="76">
        <v>0</v>
      </c>
      <c r="AO4" s="45"/>
      <c r="AP4" s="46"/>
      <c r="AQ4" s="45">
        <v>0</v>
      </c>
      <c r="AR4" s="51" t="s">
        <v>62</v>
      </c>
      <c r="AS4" s="52" t="s">
        <v>63</v>
      </c>
      <c r="AT4" s="77">
        <v>3926909790</v>
      </c>
      <c r="AU4" s="52" t="s">
        <v>64</v>
      </c>
      <c r="AV4" s="52" t="s">
        <v>65</v>
      </c>
      <c r="AW4" s="52" t="s">
        <v>66</v>
      </c>
      <c r="AX4" s="52" t="s">
        <v>67</v>
      </c>
    </row>
    <row r="5" s="4" customFormat="1" ht="79" customHeight="1" spans="1:50">
      <c r="A5" s="40">
        <v>2</v>
      </c>
      <c r="B5" s="37">
        <v>46175</v>
      </c>
      <c r="C5" s="38" t="s">
        <v>68</v>
      </c>
      <c r="D5" s="39">
        <v>2255882</v>
      </c>
      <c r="E5" s="40" t="s">
        <v>55</v>
      </c>
      <c r="F5" s="55" t="s">
        <v>69</v>
      </c>
      <c r="G5" s="56"/>
      <c r="H5" s="57" t="s">
        <v>56</v>
      </c>
      <c r="I5" s="57" t="s">
        <v>57</v>
      </c>
      <c r="J5" s="51" t="s">
        <v>70</v>
      </c>
      <c r="K5" s="51"/>
      <c r="L5" s="51" t="s">
        <v>71</v>
      </c>
      <c r="M5" s="69">
        <v>5.99</v>
      </c>
      <c r="N5" s="45">
        <f>M5-SUM(AF5+AH5+AK5+AL5+AM5+AN5+AQ5)</f>
        <v>1.58895667447307</v>
      </c>
      <c r="O5" s="46">
        <f>N5*U5</f>
        <v>13.56969</v>
      </c>
      <c r="P5" s="70">
        <f>N5/M5</f>
        <v>0.265268226122382</v>
      </c>
      <c r="Q5" s="45">
        <f>M5-SUM(AF5+AJ5+AK5+AL5+AM5+AN5+AO5+AP5+AQ5)</f>
        <v>1.79972950819672</v>
      </c>
      <c r="R5" s="46">
        <f>Q5*U5</f>
        <v>15.36969</v>
      </c>
      <c r="S5" s="71">
        <f>Q5/M5</f>
        <v>0.300455677495279</v>
      </c>
      <c r="T5" s="72" t="s">
        <v>61</v>
      </c>
      <c r="U5" s="72">
        <v>8.54</v>
      </c>
      <c r="V5" s="50">
        <v>0.2</v>
      </c>
      <c r="W5" s="50">
        <v>0.15</v>
      </c>
      <c r="X5" s="44">
        <v>20</v>
      </c>
      <c r="Y5" s="44">
        <v>20</v>
      </c>
      <c r="Z5" s="44">
        <v>0.5</v>
      </c>
      <c r="AA5" s="73">
        <f>(X5*Y5*Z5)/6000</f>
        <v>0.0333333333333333</v>
      </c>
      <c r="AB5" s="44">
        <v>0.06</v>
      </c>
      <c r="AC5" s="49">
        <v>45</v>
      </c>
      <c r="AD5" s="49">
        <v>15</v>
      </c>
      <c r="AE5" s="74">
        <v>4</v>
      </c>
      <c r="AF5" s="48">
        <f>AE5/U5</f>
        <v>0.468384074941452</v>
      </c>
      <c r="AG5" s="75">
        <f>AC5*MAX(AA5:AB5)</f>
        <v>2.7</v>
      </c>
      <c r="AH5" s="45">
        <f>AG5/U5</f>
        <v>0.31615925058548</v>
      </c>
      <c r="AI5" s="45">
        <f>AD5*MAX(AA5:AB5)</f>
        <v>0.9</v>
      </c>
      <c r="AJ5" s="45">
        <f>AI5/U5</f>
        <v>0.105386416861827</v>
      </c>
      <c r="AK5" s="48">
        <f>M5*W5</f>
        <v>0.8985</v>
      </c>
      <c r="AL5" s="44">
        <v>1.52</v>
      </c>
      <c r="AM5" s="45">
        <f>M5*V5</f>
        <v>1.198</v>
      </c>
      <c r="AN5" s="76">
        <v>0</v>
      </c>
      <c r="AO5" s="45"/>
      <c r="AP5" s="46"/>
      <c r="AQ5" s="45">
        <v>0</v>
      </c>
      <c r="AR5" s="51" t="s">
        <v>62</v>
      </c>
      <c r="AS5" s="52" t="s">
        <v>63</v>
      </c>
      <c r="AT5" s="77">
        <v>3926909790</v>
      </c>
      <c r="AU5" s="52" t="s">
        <v>64</v>
      </c>
      <c r="AV5" s="52" t="s">
        <v>65</v>
      </c>
      <c r="AW5" s="52" t="s">
        <v>66</v>
      </c>
      <c r="AX5" s="52" t="s">
        <v>67</v>
      </c>
    </row>
    <row r="6" s="4" customFormat="1" ht="79" customHeight="1" spans="1:50">
      <c r="A6" s="40">
        <v>3</v>
      </c>
      <c r="B6" s="37">
        <v>46175</v>
      </c>
      <c r="C6" s="38" t="s">
        <v>72</v>
      </c>
      <c r="D6" s="39">
        <v>2551627</v>
      </c>
      <c r="E6" s="40" t="s">
        <v>73</v>
      </c>
      <c r="F6" s="78" t="s">
        <v>74</v>
      </c>
      <c r="G6" s="56"/>
      <c r="H6" s="57" t="s">
        <v>75</v>
      </c>
      <c r="I6" s="57" t="s">
        <v>76</v>
      </c>
      <c r="J6" s="51" t="s">
        <v>77</v>
      </c>
      <c r="K6" s="51" t="s">
        <v>78</v>
      </c>
      <c r="L6" s="51" t="s">
        <v>79</v>
      </c>
      <c r="M6" s="69">
        <v>9.99</v>
      </c>
      <c r="N6" s="45">
        <v>3.19527985948478</v>
      </c>
      <c r="O6" s="46">
        <v>27.28769</v>
      </c>
      <c r="P6" s="70">
        <v>0.31984783378226</v>
      </c>
      <c r="Q6" s="45">
        <v>3.40605269320843</v>
      </c>
      <c r="R6" s="46">
        <v>29.08769</v>
      </c>
      <c r="S6" s="71">
        <v>0.340946215536379</v>
      </c>
      <c r="T6" s="72" t="s">
        <v>61</v>
      </c>
      <c r="U6" s="72">
        <v>8.54</v>
      </c>
      <c r="V6" s="50">
        <v>0.2</v>
      </c>
      <c r="W6" s="50">
        <v>0.15</v>
      </c>
      <c r="X6" s="44">
        <v>12</v>
      </c>
      <c r="Y6" s="44">
        <v>12</v>
      </c>
      <c r="Z6" s="44">
        <v>2</v>
      </c>
      <c r="AA6" s="73">
        <v>0.048</v>
      </c>
      <c r="AB6" s="44">
        <v>0.06</v>
      </c>
      <c r="AC6" s="49">
        <v>45</v>
      </c>
      <c r="AD6" s="49">
        <v>15</v>
      </c>
      <c r="AE6" s="74">
        <v>4.8</v>
      </c>
      <c r="AF6" s="48">
        <v>0.562060889929742</v>
      </c>
      <c r="AG6" s="75">
        <v>2.7</v>
      </c>
      <c r="AH6" s="45">
        <v>0.31615925058548</v>
      </c>
      <c r="AI6" s="45">
        <v>0.9</v>
      </c>
      <c r="AJ6" s="45">
        <v>0.105386416861827</v>
      </c>
      <c r="AK6" s="48">
        <v>1.4985</v>
      </c>
      <c r="AL6" s="44">
        <v>2.42</v>
      </c>
      <c r="AM6" s="45">
        <v>1.998</v>
      </c>
      <c r="AN6" s="76">
        <v>0</v>
      </c>
      <c r="AO6" s="45"/>
      <c r="AP6" s="46"/>
      <c r="AQ6" s="45">
        <v>0</v>
      </c>
      <c r="AR6" s="51" t="s">
        <v>80</v>
      </c>
      <c r="AS6" s="52" t="s">
        <v>81</v>
      </c>
      <c r="AT6" s="77">
        <v>7117190000</v>
      </c>
      <c r="AU6" s="52" t="s">
        <v>82</v>
      </c>
      <c r="AV6" s="52" t="s">
        <v>83</v>
      </c>
      <c r="AW6" s="52" t="s">
        <v>84</v>
      </c>
      <c r="AX6" s="52"/>
    </row>
    <row r="7" s="4" customFormat="1" ht="79" customHeight="1" spans="1:50">
      <c r="A7" s="40">
        <v>4</v>
      </c>
      <c r="B7" s="37">
        <v>46175</v>
      </c>
      <c r="C7" s="38" t="s">
        <v>85</v>
      </c>
      <c r="D7" s="39">
        <v>2551628</v>
      </c>
      <c r="E7" s="40" t="s">
        <v>73</v>
      </c>
      <c r="F7" s="78" t="s">
        <v>74</v>
      </c>
      <c r="G7" s="56"/>
      <c r="H7" s="57"/>
      <c r="I7" s="57" t="s">
        <v>86</v>
      </c>
      <c r="J7" s="51" t="s">
        <v>77</v>
      </c>
      <c r="K7" s="51" t="s">
        <v>78</v>
      </c>
      <c r="L7" s="51" t="s">
        <v>79</v>
      </c>
      <c r="M7" s="69"/>
      <c r="N7" s="45">
        <v>-0.784543325526932</v>
      </c>
      <c r="O7" s="46">
        <v>-6.7</v>
      </c>
      <c r="P7" s="70" t="e">
        <v>#DIV/0!</v>
      </c>
      <c r="Q7" s="45">
        <v>-0.573770491803279</v>
      </c>
      <c r="R7" s="46">
        <v>-4.9</v>
      </c>
      <c r="S7" s="71" t="e">
        <v>#DIV/0!</v>
      </c>
      <c r="T7" s="72" t="s">
        <v>61</v>
      </c>
      <c r="U7" s="72">
        <v>8.54</v>
      </c>
      <c r="V7" s="50">
        <v>0.2</v>
      </c>
      <c r="W7" s="50">
        <v>0.15</v>
      </c>
      <c r="X7" s="44">
        <v>12</v>
      </c>
      <c r="Y7" s="44">
        <v>12</v>
      </c>
      <c r="Z7" s="44">
        <v>2</v>
      </c>
      <c r="AA7" s="73">
        <v>0.048</v>
      </c>
      <c r="AB7" s="44">
        <v>0.06</v>
      </c>
      <c r="AC7" s="49">
        <v>45</v>
      </c>
      <c r="AD7" s="49">
        <v>15</v>
      </c>
      <c r="AE7" s="74">
        <v>4</v>
      </c>
      <c r="AF7" s="48">
        <v>0.468384074941452</v>
      </c>
      <c r="AG7" s="75">
        <v>2.7</v>
      </c>
      <c r="AH7" s="45">
        <v>0.31615925058548</v>
      </c>
      <c r="AI7" s="45">
        <v>0.9</v>
      </c>
      <c r="AJ7" s="45">
        <v>0.105386416861827</v>
      </c>
      <c r="AK7" s="48">
        <v>0</v>
      </c>
      <c r="AL7" s="44"/>
      <c r="AM7" s="45">
        <v>0</v>
      </c>
      <c r="AN7" s="76">
        <v>0</v>
      </c>
      <c r="AO7" s="45"/>
      <c r="AP7" s="46"/>
      <c r="AQ7" s="45">
        <v>0</v>
      </c>
      <c r="AR7" s="51" t="s">
        <v>80</v>
      </c>
      <c r="AS7" s="52" t="s">
        <v>81</v>
      </c>
      <c r="AT7" s="77">
        <v>7117190000</v>
      </c>
      <c r="AU7" s="52" t="s">
        <v>82</v>
      </c>
      <c r="AV7" s="52" t="s">
        <v>83</v>
      </c>
      <c r="AW7" s="52" t="s">
        <v>84</v>
      </c>
      <c r="AX7" s="52"/>
    </row>
    <row r="8" s="4" customFormat="1" ht="79" customHeight="1" spans="1:50">
      <c r="A8" s="40">
        <v>5</v>
      </c>
      <c r="B8" s="37">
        <v>46175</v>
      </c>
      <c r="C8" s="59" t="s">
        <v>87</v>
      </c>
      <c r="D8" s="39">
        <v>2551629</v>
      </c>
      <c r="E8" s="40" t="s">
        <v>73</v>
      </c>
      <c r="F8" s="78" t="s">
        <v>74</v>
      </c>
      <c r="G8" s="56"/>
      <c r="H8" s="57"/>
      <c r="I8" s="57" t="s">
        <v>86</v>
      </c>
      <c r="J8" s="51" t="s">
        <v>77</v>
      </c>
      <c r="K8" s="51" t="s">
        <v>78</v>
      </c>
      <c r="L8" s="51" t="s">
        <v>79</v>
      </c>
      <c r="M8" s="69"/>
      <c r="N8" s="45">
        <v>-0.120023419203747</v>
      </c>
      <c r="O8" s="46">
        <v>-1.025</v>
      </c>
      <c r="P8" s="70" t="e">
        <v>#DIV/0!</v>
      </c>
      <c r="Q8" s="45">
        <v>-0.07903981264637</v>
      </c>
      <c r="R8" s="46">
        <v>-0.675</v>
      </c>
      <c r="S8" s="71" t="e">
        <v>#DIV/0!</v>
      </c>
      <c r="T8" s="72" t="s">
        <v>61</v>
      </c>
      <c r="U8" s="72">
        <v>8.54</v>
      </c>
      <c r="V8" s="50">
        <v>0.2</v>
      </c>
      <c r="W8" s="50">
        <v>0.15</v>
      </c>
      <c r="X8" s="44">
        <v>10</v>
      </c>
      <c r="Y8" s="44">
        <v>7</v>
      </c>
      <c r="Z8" s="44">
        <v>1</v>
      </c>
      <c r="AA8" s="73">
        <v>0.0116666666666667</v>
      </c>
      <c r="AB8" s="44">
        <v>0.01</v>
      </c>
      <c r="AC8" s="49">
        <v>45</v>
      </c>
      <c r="AD8" s="49">
        <v>15</v>
      </c>
      <c r="AE8" s="74">
        <v>0.5</v>
      </c>
      <c r="AF8" s="48">
        <v>0.0585480093676815</v>
      </c>
      <c r="AG8" s="75">
        <v>0.525</v>
      </c>
      <c r="AH8" s="45">
        <v>0.0614754098360656</v>
      </c>
      <c r="AI8" s="45">
        <v>0.175</v>
      </c>
      <c r="AJ8" s="45">
        <v>0.0204918032786885</v>
      </c>
      <c r="AK8" s="48">
        <v>0</v>
      </c>
      <c r="AL8" s="44"/>
      <c r="AM8" s="45">
        <v>0</v>
      </c>
      <c r="AN8" s="76">
        <v>0</v>
      </c>
      <c r="AO8" s="45"/>
      <c r="AP8" s="46"/>
      <c r="AQ8" s="45">
        <v>0</v>
      </c>
      <c r="AR8" s="51" t="s">
        <v>88</v>
      </c>
      <c r="AS8" s="52" t="s">
        <v>89</v>
      </c>
      <c r="AT8" s="77">
        <v>4909009000</v>
      </c>
      <c r="AU8" s="52" t="s">
        <v>90</v>
      </c>
      <c r="AV8" s="52" t="s">
        <v>91</v>
      </c>
      <c r="AW8" s="52" t="s">
        <v>92</v>
      </c>
      <c r="AX8" s="52"/>
    </row>
    <row r="9" s="4" customFormat="1" ht="79" customHeight="1" spans="1:50">
      <c r="A9" s="40">
        <v>6</v>
      </c>
      <c r="B9" s="37">
        <v>46175</v>
      </c>
      <c r="C9" s="38" t="s">
        <v>93</v>
      </c>
      <c r="D9" s="39">
        <v>2551630</v>
      </c>
      <c r="E9" s="40" t="s">
        <v>73</v>
      </c>
      <c r="F9" s="78"/>
      <c r="G9" s="56"/>
      <c r="H9" s="57" t="s">
        <v>75</v>
      </c>
      <c r="I9" s="57" t="s">
        <v>76</v>
      </c>
      <c r="J9" s="51" t="s">
        <v>77</v>
      </c>
      <c r="K9" s="51" t="s">
        <v>78</v>
      </c>
      <c r="L9" s="51" t="s">
        <v>79</v>
      </c>
      <c r="M9" s="69">
        <v>9.99</v>
      </c>
      <c r="N9" s="45">
        <v>3.19527985948478</v>
      </c>
      <c r="O9" s="46">
        <v>27.28769</v>
      </c>
      <c r="P9" s="70">
        <v>0.31984783378226</v>
      </c>
      <c r="Q9" s="45">
        <v>3.40605269320843</v>
      </c>
      <c r="R9" s="46">
        <v>29.08769</v>
      </c>
      <c r="S9" s="71">
        <v>0.340946215536379</v>
      </c>
      <c r="T9" s="72" t="s">
        <v>61</v>
      </c>
      <c r="U9" s="72">
        <v>8.54</v>
      </c>
      <c r="V9" s="50">
        <v>0.2</v>
      </c>
      <c r="W9" s="50">
        <v>0.15</v>
      </c>
      <c r="X9" s="44">
        <v>12</v>
      </c>
      <c r="Y9" s="44">
        <v>12</v>
      </c>
      <c r="Z9" s="44">
        <v>2</v>
      </c>
      <c r="AA9" s="73">
        <v>0.048</v>
      </c>
      <c r="AB9" s="44">
        <v>0.06</v>
      </c>
      <c r="AC9" s="49">
        <v>45</v>
      </c>
      <c r="AD9" s="49">
        <v>15</v>
      </c>
      <c r="AE9" s="74">
        <v>4.8</v>
      </c>
      <c r="AF9" s="48">
        <v>0.562060889929742</v>
      </c>
      <c r="AG9" s="75">
        <v>2.7</v>
      </c>
      <c r="AH9" s="45">
        <v>0.31615925058548</v>
      </c>
      <c r="AI9" s="45">
        <v>0.9</v>
      </c>
      <c r="AJ9" s="45">
        <v>0.105386416861827</v>
      </c>
      <c r="AK9" s="48">
        <v>1.4985</v>
      </c>
      <c r="AL9" s="44">
        <v>2.42</v>
      </c>
      <c r="AM9" s="45">
        <v>1.998</v>
      </c>
      <c r="AN9" s="76">
        <v>0</v>
      </c>
      <c r="AO9" s="45"/>
      <c r="AP9" s="46"/>
      <c r="AQ9" s="45">
        <v>0</v>
      </c>
      <c r="AR9" s="51" t="s">
        <v>80</v>
      </c>
      <c r="AS9" s="52" t="s">
        <v>81</v>
      </c>
      <c r="AT9" s="77">
        <v>7117190000</v>
      </c>
      <c r="AU9" s="52" t="s">
        <v>82</v>
      </c>
      <c r="AV9" s="52" t="s">
        <v>83</v>
      </c>
      <c r="AW9" s="52" t="s">
        <v>84</v>
      </c>
      <c r="AX9" s="52"/>
    </row>
    <row r="10" s="4" customFormat="1" ht="79" customHeight="1" spans="1:50">
      <c r="A10" s="40">
        <v>7</v>
      </c>
      <c r="B10" s="37">
        <v>46175</v>
      </c>
      <c r="C10" s="38" t="s">
        <v>94</v>
      </c>
      <c r="D10" s="39">
        <v>2551631</v>
      </c>
      <c r="E10" s="40" t="s">
        <v>73</v>
      </c>
      <c r="F10" s="55"/>
      <c r="G10" s="56"/>
      <c r="H10" s="57"/>
      <c r="I10" s="57" t="s">
        <v>86</v>
      </c>
      <c r="J10" s="51" t="s">
        <v>77</v>
      </c>
      <c r="K10" s="51" t="s">
        <v>78</v>
      </c>
      <c r="L10" s="51" t="s">
        <v>79</v>
      </c>
      <c r="M10" s="69"/>
      <c r="N10" s="45">
        <v>-0.784543325526932</v>
      </c>
      <c r="O10" s="46">
        <v>-6.7</v>
      </c>
      <c r="P10" s="70" t="e">
        <v>#DIV/0!</v>
      </c>
      <c r="Q10" s="45">
        <v>-0.573770491803279</v>
      </c>
      <c r="R10" s="46">
        <v>-4.9</v>
      </c>
      <c r="S10" s="71" t="e">
        <v>#DIV/0!</v>
      </c>
      <c r="T10" s="72" t="s">
        <v>61</v>
      </c>
      <c r="U10" s="72">
        <v>8.54</v>
      </c>
      <c r="V10" s="50">
        <v>0.2</v>
      </c>
      <c r="W10" s="50">
        <v>0.15</v>
      </c>
      <c r="X10" s="44">
        <v>12</v>
      </c>
      <c r="Y10" s="44">
        <v>12</v>
      </c>
      <c r="Z10" s="44">
        <v>2</v>
      </c>
      <c r="AA10" s="73">
        <v>0.048</v>
      </c>
      <c r="AB10" s="44">
        <v>0.06</v>
      </c>
      <c r="AC10" s="49">
        <v>45</v>
      </c>
      <c r="AD10" s="49">
        <v>15</v>
      </c>
      <c r="AE10" s="74">
        <v>4</v>
      </c>
      <c r="AF10" s="48">
        <v>0.468384074941452</v>
      </c>
      <c r="AG10" s="75">
        <v>2.7</v>
      </c>
      <c r="AH10" s="45">
        <v>0.31615925058548</v>
      </c>
      <c r="AI10" s="45">
        <v>0.9</v>
      </c>
      <c r="AJ10" s="45">
        <v>0.105386416861827</v>
      </c>
      <c r="AK10" s="48">
        <v>0</v>
      </c>
      <c r="AL10" s="44"/>
      <c r="AM10" s="45">
        <v>0</v>
      </c>
      <c r="AN10" s="76">
        <v>0</v>
      </c>
      <c r="AO10" s="45"/>
      <c r="AP10" s="46"/>
      <c r="AQ10" s="45">
        <v>0</v>
      </c>
      <c r="AR10" s="51" t="s">
        <v>80</v>
      </c>
      <c r="AS10" s="52" t="s">
        <v>81</v>
      </c>
      <c r="AT10" s="77">
        <v>7117190000</v>
      </c>
      <c r="AU10" s="52" t="s">
        <v>82</v>
      </c>
      <c r="AV10" s="52" t="s">
        <v>83</v>
      </c>
      <c r="AW10" s="52" t="s">
        <v>84</v>
      </c>
      <c r="AX10" s="52"/>
    </row>
    <row r="11" s="4" customFormat="1" ht="79" customHeight="1" spans="1:50">
      <c r="A11" s="40">
        <v>8</v>
      </c>
      <c r="B11" s="37">
        <v>46175</v>
      </c>
      <c r="C11" s="38" t="s">
        <v>95</v>
      </c>
      <c r="D11" s="39">
        <v>2551632</v>
      </c>
      <c r="E11" s="40" t="s">
        <v>73</v>
      </c>
      <c r="F11" s="78" t="s">
        <v>96</v>
      </c>
      <c r="G11" s="56"/>
      <c r="H11" s="79" t="s">
        <v>97</v>
      </c>
      <c r="I11" s="79"/>
      <c r="J11" s="51" t="s">
        <v>98</v>
      </c>
      <c r="K11" s="51" t="s">
        <v>99</v>
      </c>
      <c r="L11" s="51"/>
      <c r="M11" s="69">
        <v>8.99</v>
      </c>
      <c r="N11" s="45">
        <v>2.19780913348946</v>
      </c>
      <c r="O11" s="46">
        <v>18.76929</v>
      </c>
      <c r="P11" s="70">
        <v>0.244472651111175</v>
      </c>
      <c r="Q11" s="45">
        <v>2.79499882903981</v>
      </c>
      <c r="R11" s="46">
        <v>23.86929</v>
      </c>
      <c r="S11" s="71">
        <v>0.310900870860936</v>
      </c>
      <c r="T11" s="72" t="s">
        <v>61</v>
      </c>
      <c r="U11" s="72">
        <v>8.54</v>
      </c>
      <c r="V11" s="50">
        <v>0.2</v>
      </c>
      <c r="W11" s="50">
        <v>0.15</v>
      </c>
      <c r="X11" s="44">
        <v>12.5</v>
      </c>
      <c r="Y11" s="44">
        <v>12.5</v>
      </c>
      <c r="Z11" s="44">
        <v>2.5</v>
      </c>
      <c r="AA11" s="73">
        <v>0.0651041666666667</v>
      </c>
      <c r="AB11" s="44">
        <v>0.17</v>
      </c>
      <c r="AC11" s="49">
        <v>45</v>
      </c>
      <c r="AD11" s="49">
        <v>15</v>
      </c>
      <c r="AE11" s="74">
        <v>8.71</v>
      </c>
      <c r="AF11" s="48">
        <v>1.01990632318501</v>
      </c>
      <c r="AG11" s="75">
        <v>7.65</v>
      </c>
      <c r="AH11" s="45">
        <v>0.895784543325527</v>
      </c>
      <c r="AI11" s="45">
        <v>2.55</v>
      </c>
      <c r="AJ11" s="45">
        <v>0.298594847775176</v>
      </c>
      <c r="AK11" s="48">
        <v>1.3485</v>
      </c>
      <c r="AL11" s="44">
        <v>1.73</v>
      </c>
      <c r="AM11" s="45">
        <v>1.798</v>
      </c>
      <c r="AN11" s="76">
        <v>0</v>
      </c>
      <c r="AO11" s="45"/>
      <c r="AP11" s="46"/>
      <c r="AQ11" s="45">
        <v>0</v>
      </c>
      <c r="AR11" s="51" t="s">
        <v>100</v>
      </c>
      <c r="AS11" s="52" t="s">
        <v>101</v>
      </c>
      <c r="AT11" s="77">
        <v>6912000000</v>
      </c>
      <c r="AU11" s="52" t="s">
        <v>102</v>
      </c>
      <c r="AV11" s="52" t="s">
        <v>103</v>
      </c>
      <c r="AW11" s="52" t="s">
        <v>104</v>
      </c>
      <c r="AX11" s="52"/>
    </row>
    <row r="12" s="4" customFormat="1" ht="79" customHeight="1" spans="1:50">
      <c r="A12" s="40">
        <v>9</v>
      </c>
      <c r="B12" s="37">
        <v>46175</v>
      </c>
      <c r="C12" s="38" t="s">
        <v>105</v>
      </c>
      <c r="D12" s="39">
        <v>2551633</v>
      </c>
      <c r="E12" s="40" t="s">
        <v>73</v>
      </c>
      <c r="F12" s="78" t="s">
        <v>74</v>
      </c>
      <c r="G12" s="56"/>
      <c r="H12" s="79" t="s">
        <v>106</v>
      </c>
      <c r="I12" s="79"/>
      <c r="J12" s="51" t="s">
        <v>107</v>
      </c>
      <c r="K12" s="51" t="s">
        <v>108</v>
      </c>
      <c r="L12" s="51" t="s">
        <v>109</v>
      </c>
      <c r="M12" s="69">
        <v>9.99</v>
      </c>
      <c r="N12" s="45">
        <v>1.97368735362998</v>
      </c>
      <c r="O12" s="46">
        <v>16.85529</v>
      </c>
      <c r="P12" s="70">
        <v>0.197566301664662</v>
      </c>
      <c r="Q12" s="45">
        <v>2.27228220140515</v>
      </c>
      <c r="R12" s="46">
        <v>19.40529</v>
      </c>
      <c r="S12" s="71">
        <v>0.227455675816331</v>
      </c>
      <c r="T12" s="72" t="s">
        <v>61</v>
      </c>
      <c r="U12" s="72">
        <v>8.54</v>
      </c>
      <c r="V12" s="50">
        <v>0.2</v>
      </c>
      <c r="W12" s="50">
        <v>0.15</v>
      </c>
      <c r="X12" s="44">
        <v>17</v>
      </c>
      <c r="Y12" s="44">
        <v>15</v>
      </c>
      <c r="Z12" s="44">
        <v>2</v>
      </c>
      <c r="AA12" s="73">
        <v>0.085</v>
      </c>
      <c r="AB12" s="44">
        <v>0.05</v>
      </c>
      <c r="AC12" s="49">
        <v>45</v>
      </c>
      <c r="AD12" s="49">
        <v>15</v>
      </c>
      <c r="AE12" s="74">
        <v>20</v>
      </c>
      <c r="AF12" s="48">
        <v>2.34192037470726</v>
      </c>
      <c r="AG12" s="75">
        <v>3.825</v>
      </c>
      <c r="AH12" s="45">
        <v>0.447892271662764</v>
      </c>
      <c r="AI12" s="45">
        <v>1.275</v>
      </c>
      <c r="AJ12" s="45">
        <v>0.149297423887588</v>
      </c>
      <c r="AK12" s="48">
        <v>1.4985</v>
      </c>
      <c r="AL12" s="44">
        <v>1.73</v>
      </c>
      <c r="AM12" s="45">
        <v>1.998</v>
      </c>
      <c r="AN12" s="76">
        <v>0</v>
      </c>
      <c r="AO12" s="45"/>
      <c r="AP12" s="46"/>
      <c r="AQ12" s="45">
        <v>0</v>
      </c>
      <c r="AR12" s="51" t="s">
        <v>110</v>
      </c>
      <c r="AS12" s="52" t="s">
        <v>111</v>
      </c>
      <c r="AT12" s="77">
        <v>9503009900</v>
      </c>
      <c r="AU12" s="52" t="s">
        <v>112</v>
      </c>
      <c r="AV12" s="52" t="s">
        <v>113</v>
      </c>
      <c r="AW12" s="52" t="s">
        <v>114</v>
      </c>
      <c r="AX12" s="52"/>
    </row>
    <row r="13" s="4" customFormat="1" ht="79" customHeight="1" spans="1:50">
      <c r="A13" s="40">
        <v>10</v>
      </c>
      <c r="B13" s="37">
        <v>46175</v>
      </c>
      <c r="C13" s="38" t="s">
        <v>115</v>
      </c>
      <c r="D13" s="39">
        <v>2551634</v>
      </c>
      <c r="E13" s="40" t="s">
        <v>73</v>
      </c>
      <c r="F13" s="78" t="s">
        <v>96</v>
      </c>
      <c r="G13" s="56"/>
      <c r="H13" s="79" t="s">
        <v>106</v>
      </c>
      <c r="I13" s="79"/>
      <c r="J13" s="51" t="s">
        <v>107</v>
      </c>
      <c r="K13" s="51" t="s">
        <v>108</v>
      </c>
      <c r="L13" s="51" t="s">
        <v>109</v>
      </c>
      <c r="M13" s="69">
        <v>13.99</v>
      </c>
      <c r="N13" s="45">
        <v>2.62068969555035</v>
      </c>
      <c r="O13" s="46">
        <v>22.38069</v>
      </c>
      <c r="P13" s="70">
        <v>0.187325925343127</v>
      </c>
      <c r="Q13" s="45">
        <v>2.90172014051522</v>
      </c>
      <c r="R13" s="46">
        <v>24.78069</v>
      </c>
      <c r="S13" s="71">
        <v>0.207413877091867</v>
      </c>
      <c r="T13" s="72" t="s">
        <v>61</v>
      </c>
      <c r="U13" s="72">
        <v>8.54</v>
      </c>
      <c r="V13" s="50">
        <v>0.2</v>
      </c>
      <c r="W13" s="50">
        <v>0.15</v>
      </c>
      <c r="X13" s="44">
        <v>15</v>
      </c>
      <c r="Y13" s="44">
        <v>12</v>
      </c>
      <c r="Z13" s="44">
        <v>2</v>
      </c>
      <c r="AA13" s="73">
        <v>0.06</v>
      </c>
      <c r="AB13" s="44">
        <v>0.08</v>
      </c>
      <c r="AC13" s="49">
        <v>45</v>
      </c>
      <c r="AD13" s="49">
        <v>15</v>
      </c>
      <c r="AE13" s="74">
        <v>34</v>
      </c>
      <c r="AF13" s="48">
        <v>3.98126463700234</v>
      </c>
      <c r="AG13" s="75">
        <v>3.6</v>
      </c>
      <c r="AH13" s="45">
        <v>0.421545667447307</v>
      </c>
      <c r="AI13" s="45">
        <v>1.2</v>
      </c>
      <c r="AJ13" s="45">
        <v>0.140515222482436</v>
      </c>
      <c r="AK13" s="48">
        <v>2.0985</v>
      </c>
      <c r="AL13" s="44">
        <v>2.07</v>
      </c>
      <c r="AM13" s="45">
        <v>2.798</v>
      </c>
      <c r="AN13" s="76">
        <v>0</v>
      </c>
      <c r="AO13" s="45"/>
      <c r="AP13" s="46"/>
      <c r="AQ13" s="45">
        <v>0</v>
      </c>
      <c r="AR13" s="51" t="s">
        <v>116</v>
      </c>
      <c r="AS13" s="52" t="s">
        <v>117</v>
      </c>
      <c r="AT13" s="77">
        <v>9503009900</v>
      </c>
      <c r="AU13" s="52" t="s">
        <v>112</v>
      </c>
      <c r="AV13" s="52" t="s">
        <v>113</v>
      </c>
      <c r="AW13" s="52" t="s">
        <v>114</v>
      </c>
      <c r="AX13" s="52"/>
    </row>
    <row r="14" s="4" customFormat="1" ht="79" customHeight="1" spans="1:50">
      <c r="A14" s="40">
        <v>11</v>
      </c>
      <c r="B14" s="37">
        <v>46175</v>
      </c>
      <c r="C14" s="38" t="s">
        <v>118</v>
      </c>
      <c r="D14" s="39">
        <v>2551635</v>
      </c>
      <c r="E14" s="40" t="s">
        <v>73</v>
      </c>
      <c r="F14" s="78" t="s">
        <v>96</v>
      </c>
      <c r="G14" s="56"/>
      <c r="H14" s="79" t="s">
        <v>119</v>
      </c>
      <c r="I14" s="79"/>
      <c r="J14" s="51" t="s">
        <v>120</v>
      </c>
      <c r="K14" s="51" t="s">
        <v>121</v>
      </c>
      <c r="L14" s="51"/>
      <c r="M14" s="69">
        <v>6.99</v>
      </c>
      <c r="N14" s="45">
        <v>2.2506662763466</v>
      </c>
      <c r="O14" s="46">
        <v>19.22069</v>
      </c>
      <c r="P14" s="70">
        <v>0.321983730521689</v>
      </c>
      <c r="Q14" s="45">
        <v>2.46143911007026</v>
      </c>
      <c r="R14" s="46">
        <v>21.02069</v>
      </c>
      <c r="S14" s="71">
        <v>0.352137211741095</v>
      </c>
      <c r="T14" s="72" t="s">
        <v>61</v>
      </c>
      <c r="U14" s="72">
        <v>8.54</v>
      </c>
      <c r="V14" s="50">
        <v>0.2</v>
      </c>
      <c r="W14" s="50">
        <v>0.15</v>
      </c>
      <c r="X14" s="44">
        <v>10</v>
      </c>
      <c r="Y14" s="44">
        <v>10</v>
      </c>
      <c r="Z14" s="44">
        <v>2</v>
      </c>
      <c r="AA14" s="73">
        <v>0.0333333333333333</v>
      </c>
      <c r="AB14" s="44">
        <v>0.06</v>
      </c>
      <c r="AC14" s="49">
        <v>45</v>
      </c>
      <c r="AD14" s="49">
        <v>15</v>
      </c>
      <c r="AE14" s="74">
        <v>3.9</v>
      </c>
      <c r="AF14" s="48">
        <v>0.456674473067916</v>
      </c>
      <c r="AG14" s="75">
        <v>2.7</v>
      </c>
      <c r="AH14" s="45">
        <v>0.31615925058548</v>
      </c>
      <c r="AI14" s="45">
        <v>0.9</v>
      </c>
      <c r="AJ14" s="45">
        <v>0.105386416861827</v>
      </c>
      <c r="AK14" s="48">
        <v>1.0485</v>
      </c>
      <c r="AL14" s="44">
        <v>1.52</v>
      </c>
      <c r="AM14" s="45">
        <v>1.398</v>
      </c>
      <c r="AN14" s="76">
        <v>0</v>
      </c>
      <c r="AO14" s="45"/>
      <c r="AP14" s="46"/>
      <c r="AQ14" s="45">
        <v>0</v>
      </c>
      <c r="AR14" s="51" t="s">
        <v>122</v>
      </c>
      <c r="AS14" s="52" t="s">
        <v>123</v>
      </c>
      <c r="AT14" s="77">
        <v>8302490000</v>
      </c>
      <c r="AU14" s="52" t="s">
        <v>124</v>
      </c>
      <c r="AV14" s="52" t="s">
        <v>125</v>
      </c>
      <c r="AW14" s="52" t="s">
        <v>126</v>
      </c>
      <c r="AX14" s="52"/>
    </row>
    <row r="15" s="4" customFormat="1" ht="79" customHeight="1" spans="1:50">
      <c r="A15" s="40">
        <v>12</v>
      </c>
      <c r="B15" s="37">
        <v>46175</v>
      </c>
      <c r="C15" s="38" t="s">
        <v>127</v>
      </c>
      <c r="D15" s="39">
        <v>2551636</v>
      </c>
      <c r="E15" s="40" t="s">
        <v>73</v>
      </c>
      <c r="F15" s="78" t="s">
        <v>128</v>
      </c>
      <c r="G15" s="56"/>
      <c r="H15" s="79"/>
      <c r="I15" s="79" t="s">
        <v>129</v>
      </c>
      <c r="J15" s="51" t="s">
        <v>130</v>
      </c>
      <c r="K15" s="51" t="s">
        <v>131</v>
      </c>
      <c r="L15" s="51"/>
      <c r="M15" s="69">
        <v>9.99</v>
      </c>
      <c r="N15" s="45">
        <v>2.44734074941452</v>
      </c>
      <c r="O15" s="46">
        <v>20.90029</v>
      </c>
      <c r="P15" s="70">
        <v>0.244979053995447</v>
      </c>
      <c r="Q15" s="45">
        <v>3.50120491803279</v>
      </c>
      <c r="R15" s="46">
        <v>29.90029</v>
      </c>
      <c r="S15" s="71">
        <v>0.350470962766045</v>
      </c>
      <c r="T15" s="72" t="s">
        <v>61</v>
      </c>
      <c r="U15" s="72">
        <v>8.54</v>
      </c>
      <c r="V15" s="50">
        <v>0.2</v>
      </c>
      <c r="W15" s="50">
        <v>0.15</v>
      </c>
      <c r="X15" s="44">
        <v>15</v>
      </c>
      <c r="Y15" s="44">
        <v>15</v>
      </c>
      <c r="Z15" s="44">
        <v>2</v>
      </c>
      <c r="AA15" s="73">
        <v>0.075</v>
      </c>
      <c r="AB15" s="44">
        <v>0.3</v>
      </c>
      <c r="AC15" s="49">
        <v>45</v>
      </c>
      <c r="AD15" s="49">
        <v>15</v>
      </c>
      <c r="AE15" s="74">
        <v>6.28</v>
      </c>
      <c r="AF15" s="48">
        <v>0.73536299765808</v>
      </c>
      <c r="AG15" s="75">
        <v>13.5</v>
      </c>
      <c r="AH15" s="45">
        <v>1.5807962529274</v>
      </c>
      <c r="AI15" s="45">
        <v>4.5</v>
      </c>
      <c r="AJ15" s="45">
        <v>0.526932084309134</v>
      </c>
      <c r="AK15" s="48">
        <v>1.4985</v>
      </c>
      <c r="AL15" s="44">
        <v>1.73</v>
      </c>
      <c r="AM15" s="45">
        <v>1.998</v>
      </c>
      <c r="AN15" s="76">
        <v>0</v>
      </c>
      <c r="AO15" s="45"/>
      <c r="AP15" s="46"/>
      <c r="AQ15" s="45">
        <v>0</v>
      </c>
      <c r="AR15" s="51" t="s">
        <v>132</v>
      </c>
      <c r="AS15" s="52" t="s">
        <v>133</v>
      </c>
      <c r="AT15" s="77">
        <v>3917400000</v>
      </c>
      <c r="AU15" s="52" t="s">
        <v>112</v>
      </c>
      <c r="AV15" s="52" t="s">
        <v>134</v>
      </c>
      <c r="AW15" s="52" t="s">
        <v>135</v>
      </c>
      <c r="AX15" s="52"/>
    </row>
    <row r="16" s="4" customFormat="1" ht="79" customHeight="1" spans="1:50">
      <c r="A16" s="40">
        <v>13</v>
      </c>
      <c r="B16" s="37">
        <v>46175</v>
      </c>
      <c r="C16" s="38" t="s">
        <v>136</v>
      </c>
      <c r="D16" s="39">
        <v>2551638</v>
      </c>
      <c r="E16" s="40" t="s">
        <v>73</v>
      </c>
      <c r="G16" s="56"/>
      <c r="H16" s="79" t="s">
        <v>137</v>
      </c>
      <c r="I16" s="79"/>
      <c r="J16" s="51" t="s">
        <v>138</v>
      </c>
      <c r="K16" s="51" t="s">
        <v>139</v>
      </c>
      <c r="L16" s="51"/>
      <c r="M16" s="69">
        <v>12.99</v>
      </c>
      <c r="N16" s="45">
        <v>3.04448360655738</v>
      </c>
      <c r="O16" s="46">
        <v>25.99989</v>
      </c>
      <c r="P16" s="70">
        <v>0.234371332298489</v>
      </c>
      <c r="Q16" s="45">
        <v>3.51286768149883</v>
      </c>
      <c r="R16" s="46">
        <v>29.99989</v>
      </c>
      <c r="S16" s="71">
        <v>0.270428612894444</v>
      </c>
      <c r="T16" s="72" t="s">
        <v>61</v>
      </c>
      <c r="U16" s="72">
        <v>8.54</v>
      </c>
      <c r="V16" s="50">
        <v>0.2</v>
      </c>
      <c r="W16" s="50">
        <v>0.15</v>
      </c>
      <c r="X16" s="44">
        <v>10</v>
      </c>
      <c r="Y16" s="44">
        <v>10</v>
      </c>
      <c r="Z16" s="44">
        <v>8</v>
      </c>
      <c r="AA16" s="73">
        <v>0.133333333333333</v>
      </c>
      <c r="AB16" s="44">
        <v>0.12</v>
      </c>
      <c r="AC16" s="49">
        <v>45</v>
      </c>
      <c r="AD16" s="49">
        <v>15</v>
      </c>
      <c r="AE16" s="74">
        <v>15</v>
      </c>
      <c r="AF16" s="48">
        <v>1.75644028103045</v>
      </c>
      <c r="AG16" s="75">
        <v>6</v>
      </c>
      <c r="AH16" s="45">
        <v>0.702576112412178</v>
      </c>
      <c r="AI16" s="45">
        <v>2</v>
      </c>
      <c r="AJ16" s="45">
        <v>0.234192037470726</v>
      </c>
      <c r="AK16" s="48">
        <v>1.9485</v>
      </c>
      <c r="AL16" s="44">
        <v>2.94</v>
      </c>
      <c r="AM16" s="45">
        <v>2.598</v>
      </c>
      <c r="AN16" s="76">
        <v>0</v>
      </c>
      <c r="AO16" s="45"/>
      <c r="AP16" s="46"/>
      <c r="AQ16" s="45">
        <v>0</v>
      </c>
      <c r="AR16" s="51" t="s">
        <v>140</v>
      </c>
      <c r="AS16" s="52" t="s">
        <v>141</v>
      </c>
      <c r="AT16" s="77">
        <v>9503004990</v>
      </c>
      <c r="AU16" s="52" t="s">
        <v>142</v>
      </c>
      <c r="AV16" s="52" t="s">
        <v>143</v>
      </c>
      <c r="AW16" s="52" t="s">
        <v>144</v>
      </c>
      <c r="AX16" s="80" t="s">
        <v>145</v>
      </c>
    </row>
    <row r="17" s="4" customFormat="1" ht="79" customHeight="1" spans="1:50">
      <c r="A17" s="40">
        <v>14</v>
      </c>
      <c r="B17" s="37">
        <v>46175</v>
      </c>
      <c r="C17" s="59" t="s">
        <v>146</v>
      </c>
      <c r="D17" s="39">
        <v>2551639</v>
      </c>
      <c r="E17" s="40" t="s">
        <v>73</v>
      </c>
      <c r="F17" s="78" t="s">
        <v>74</v>
      </c>
      <c r="G17" s="56"/>
      <c r="H17" s="79" t="s">
        <v>137</v>
      </c>
      <c r="I17" s="79"/>
      <c r="J17" s="51" t="s">
        <v>138</v>
      </c>
      <c r="K17" s="51" t="s">
        <v>139</v>
      </c>
      <c r="L17" s="51"/>
      <c r="M17" s="69">
        <v>12.99</v>
      </c>
      <c r="N17" s="45">
        <v>3.04448360655738</v>
      </c>
      <c r="O17" s="46">
        <v>25.99989</v>
      </c>
      <c r="P17" s="70">
        <v>0.234371332298489</v>
      </c>
      <c r="Q17" s="45">
        <v>3.51286768149883</v>
      </c>
      <c r="R17" s="46">
        <v>29.99989</v>
      </c>
      <c r="S17" s="71">
        <v>0.270428612894444</v>
      </c>
      <c r="T17" s="72" t="s">
        <v>61</v>
      </c>
      <c r="U17" s="72">
        <v>8.54</v>
      </c>
      <c r="V17" s="50">
        <v>0.2</v>
      </c>
      <c r="W17" s="50">
        <v>0.15</v>
      </c>
      <c r="X17" s="44">
        <v>10</v>
      </c>
      <c r="Y17" s="44">
        <v>10</v>
      </c>
      <c r="Z17" s="44">
        <v>8</v>
      </c>
      <c r="AA17" s="73">
        <v>0.133333333333333</v>
      </c>
      <c r="AB17" s="44">
        <v>0.12</v>
      </c>
      <c r="AC17" s="49">
        <v>45</v>
      </c>
      <c r="AD17" s="49">
        <v>15</v>
      </c>
      <c r="AE17" s="74">
        <v>15</v>
      </c>
      <c r="AF17" s="48">
        <v>1.75644028103045</v>
      </c>
      <c r="AG17" s="75">
        <v>6</v>
      </c>
      <c r="AH17" s="45">
        <v>0.702576112412178</v>
      </c>
      <c r="AI17" s="45">
        <v>2</v>
      </c>
      <c r="AJ17" s="45">
        <v>0.234192037470726</v>
      </c>
      <c r="AK17" s="48">
        <v>1.9485</v>
      </c>
      <c r="AL17" s="44">
        <v>2.94</v>
      </c>
      <c r="AM17" s="45">
        <v>2.598</v>
      </c>
      <c r="AN17" s="76">
        <v>0</v>
      </c>
      <c r="AO17" s="45"/>
      <c r="AP17" s="46"/>
      <c r="AQ17" s="45">
        <v>0</v>
      </c>
      <c r="AR17" s="51" t="s">
        <v>140</v>
      </c>
      <c r="AS17" s="52" t="s">
        <v>141</v>
      </c>
      <c r="AT17" s="77">
        <v>9503004990</v>
      </c>
      <c r="AU17" s="52" t="s">
        <v>142</v>
      </c>
      <c r="AV17" s="52" t="s">
        <v>143</v>
      </c>
      <c r="AW17" s="52" t="s">
        <v>144</v>
      </c>
      <c r="AX17" s="80" t="s">
        <v>145</v>
      </c>
    </row>
    <row r="18" s="4" customFormat="1" ht="79" customHeight="1" spans="1:50">
      <c r="A18" s="40">
        <v>15</v>
      </c>
      <c r="B18" s="37">
        <v>46175</v>
      </c>
      <c r="C18" s="38" t="s">
        <v>147</v>
      </c>
      <c r="D18" s="39">
        <v>2551640</v>
      </c>
      <c r="E18" s="40" t="s">
        <v>73</v>
      </c>
      <c r="F18" s="55" t="s">
        <v>74</v>
      </c>
      <c r="G18" s="56"/>
      <c r="H18" s="79"/>
      <c r="I18" s="79" t="s">
        <v>148</v>
      </c>
      <c r="J18" s="51" t="s">
        <v>149</v>
      </c>
      <c r="K18" s="51" t="s">
        <v>150</v>
      </c>
      <c r="L18" s="51"/>
      <c r="M18" s="69">
        <v>9.99</v>
      </c>
      <c r="N18" s="45">
        <v>2.0226569086651</v>
      </c>
      <c r="O18" s="46">
        <v>17.27349</v>
      </c>
      <c r="P18" s="70">
        <v>0.202468159025536</v>
      </c>
      <c r="Q18" s="45">
        <v>2.54958899297424</v>
      </c>
      <c r="R18" s="46">
        <v>21.77349</v>
      </c>
      <c r="S18" s="71">
        <v>0.255214113410835</v>
      </c>
      <c r="T18" s="72" t="s">
        <v>61</v>
      </c>
      <c r="U18" s="72">
        <v>8.54</v>
      </c>
      <c r="V18" s="50">
        <v>0.2</v>
      </c>
      <c r="W18" s="50">
        <v>0.15</v>
      </c>
      <c r="X18" s="44">
        <v>12</v>
      </c>
      <c r="Y18" s="44">
        <v>12</v>
      </c>
      <c r="Z18" s="44">
        <v>6</v>
      </c>
      <c r="AA18" s="73">
        <v>0.144</v>
      </c>
      <c r="AB18" s="44">
        <v>0.15</v>
      </c>
      <c r="AC18" s="49">
        <v>45</v>
      </c>
      <c r="AD18" s="49">
        <v>15</v>
      </c>
      <c r="AE18" s="74">
        <v>8.8</v>
      </c>
      <c r="AF18" s="48">
        <v>1.03044496487119</v>
      </c>
      <c r="AG18" s="75">
        <v>6.75</v>
      </c>
      <c r="AH18" s="45">
        <v>0.7903981264637</v>
      </c>
      <c r="AI18" s="45">
        <v>2.25</v>
      </c>
      <c r="AJ18" s="45">
        <v>0.263466042154567</v>
      </c>
      <c r="AK18" s="48">
        <v>1.4985</v>
      </c>
      <c r="AL18" s="44">
        <v>2.65</v>
      </c>
      <c r="AM18" s="45">
        <v>1.998</v>
      </c>
      <c r="AN18" s="76">
        <v>0</v>
      </c>
      <c r="AO18" s="45"/>
      <c r="AP18" s="46"/>
      <c r="AQ18" s="45">
        <v>0</v>
      </c>
      <c r="AR18" s="51" t="s">
        <v>151</v>
      </c>
      <c r="AS18" s="52" t="s">
        <v>152</v>
      </c>
      <c r="AT18" s="77">
        <v>4016930030</v>
      </c>
      <c r="AU18" s="52" t="s">
        <v>153</v>
      </c>
      <c r="AV18" s="52" t="s">
        <v>154</v>
      </c>
      <c r="AW18" s="52" t="s">
        <v>155</v>
      </c>
      <c r="AX18" s="52"/>
    </row>
    <row r="19" s="4" customFormat="1" ht="79" customHeight="1" spans="1:50">
      <c r="A19" s="40">
        <v>16</v>
      </c>
      <c r="B19" s="37">
        <v>46175</v>
      </c>
      <c r="C19" s="38" t="s">
        <v>156</v>
      </c>
      <c r="D19" s="39">
        <v>2551641</v>
      </c>
      <c r="E19" s="40" t="s">
        <v>73</v>
      </c>
      <c r="F19" s="81" t="s">
        <v>157</v>
      </c>
      <c r="G19" s="82"/>
      <c r="H19" s="79"/>
      <c r="I19" s="79" t="s">
        <v>148</v>
      </c>
      <c r="J19" s="51" t="s">
        <v>158</v>
      </c>
      <c r="K19" s="51" t="s">
        <v>159</v>
      </c>
      <c r="L19" s="51"/>
      <c r="M19" s="69">
        <v>12.99</v>
      </c>
      <c r="N19" s="45">
        <v>3.14694262295082</v>
      </c>
      <c r="O19" s="46">
        <v>26.87489</v>
      </c>
      <c r="P19" s="70">
        <v>0.242258862428854</v>
      </c>
      <c r="Q19" s="45">
        <v>3.93734074941452</v>
      </c>
      <c r="R19" s="46">
        <v>33.62489</v>
      </c>
      <c r="S19" s="71">
        <v>0.303105523434528</v>
      </c>
      <c r="T19" s="72" t="s">
        <v>61</v>
      </c>
      <c r="U19" s="72">
        <v>8.54</v>
      </c>
      <c r="V19" s="50">
        <v>0.2</v>
      </c>
      <c r="W19" s="50">
        <v>0.15</v>
      </c>
      <c r="X19" s="44">
        <v>15</v>
      </c>
      <c r="Y19" s="44">
        <v>15</v>
      </c>
      <c r="Z19" s="44">
        <v>6</v>
      </c>
      <c r="AA19" s="73">
        <v>0.225</v>
      </c>
      <c r="AB19" s="44">
        <v>0.16</v>
      </c>
      <c r="AC19" s="49">
        <v>45</v>
      </c>
      <c r="AD19" s="49">
        <v>15</v>
      </c>
      <c r="AE19" s="74">
        <v>10</v>
      </c>
      <c r="AF19" s="48">
        <v>1.17096018735363</v>
      </c>
      <c r="AG19" s="75">
        <v>10.125</v>
      </c>
      <c r="AH19" s="45">
        <v>1.18559718969555</v>
      </c>
      <c r="AI19" s="45">
        <v>3.375</v>
      </c>
      <c r="AJ19" s="45">
        <v>0.39519906323185</v>
      </c>
      <c r="AK19" s="48">
        <v>1.9485</v>
      </c>
      <c r="AL19" s="44">
        <v>2.94</v>
      </c>
      <c r="AM19" s="45">
        <v>2.598</v>
      </c>
      <c r="AN19" s="76">
        <v>0</v>
      </c>
      <c r="AO19" s="45"/>
      <c r="AP19" s="46"/>
      <c r="AQ19" s="45">
        <v>0</v>
      </c>
      <c r="AR19" s="51" t="s">
        <v>160</v>
      </c>
      <c r="AS19" s="52" t="s">
        <v>161</v>
      </c>
      <c r="AT19" s="77">
        <v>7326909000</v>
      </c>
      <c r="AU19" s="52" t="s">
        <v>162</v>
      </c>
      <c r="AV19" s="52" t="s">
        <v>163</v>
      </c>
      <c r="AW19" s="52" t="s">
        <v>164</v>
      </c>
      <c r="AX19" s="52"/>
    </row>
    <row r="20" s="4" customFormat="1" ht="79" customHeight="1" spans="1:50">
      <c r="A20" s="40">
        <v>17</v>
      </c>
      <c r="B20" s="37">
        <v>46175</v>
      </c>
      <c r="C20" s="38" t="s">
        <v>165</v>
      </c>
      <c r="D20" s="39">
        <v>2551642</v>
      </c>
      <c r="E20" s="40" t="s">
        <v>73</v>
      </c>
      <c r="F20" s="83" t="s">
        <v>166</v>
      </c>
      <c r="G20" s="82"/>
      <c r="H20" s="79"/>
      <c r="I20" s="79" t="s">
        <v>148</v>
      </c>
      <c r="J20" s="51" t="s">
        <v>158</v>
      </c>
      <c r="K20" s="51" t="s">
        <v>159</v>
      </c>
      <c r="L20" s="51"/>
      <c r="M20" s="69">
        <v>12.99</v>
      </c>
      <c r="N20" s="45">
        <v>3.14694262295082</v>
      </c>
      <c r="O20" s="46">
        <v>26.87489</v>
      </c>
      <c r="P20" s="70">
        <v>0.242258862428854</v>
      </c>
      <c r="Q20" s="45">
        <v>3.93734074941452</v>
      </c>
      <c r="R20" s="46">
        <v>33.62489</v>
      </c>
      <c r="S20" s="71">
        <v>0.303105523434528</v>
      </c>
      <c r="T20" s="72" t="s">
        <v>61</v>
      </c>
      <c r="U20" s="72">
        <v>8.54</v>
      </c>
      <c r="V20" s="50">
        <v>0.2</v>
      </c>
      <c r="W20" s="50">
        <v>0.15</v>
      </c>
      <c r="X20" s="44">
        <v>15</v>
      </c>
      <c r="Y20" s="44">
        <v>15</v>
      </c>
      <c r="Z20" s="44">
        <v>6</v>
      </c>
      <c r="AA20" s="73">
        <v>0.225</v>
      </c>
      <c r="AB20" s="44">
        <v>0.16</v>
      </c>
      <c r="AC20" s="49">
        <v>45</v>
      </c>
      <c r="AD20" s="49">
        <v>15</v>
      </c>
      <c r="AE20" s="74">
        <v>10</v>
      </c>
      <c r="AF20" s="48">
        <v>1.17096018735363</v>
      </c>
      <c r="AG20" s="75">
        <v>10.125</v>
      </c>
      <c r="AH20" s="45">
        <v>1.18559718969555</v>
      </c>
      <c r="AI20" s="45">
        <v>3.375</v>
      </c>
      <c r="AJ20" s="45">
        <v>0.39519906323185</v>
      </c>
      <c r="AK20" s="48">
        <v>1.9485</v>
      </c>
      <c r="AL20" s="44">
        <v>2.94</v>
      </c>
      <c r="AM20" s="45">
        <v>2.598</v>
      </c>
      <c r="AN20" s="76">
        <v>0</v>
      </c>
      <c r="AO20" s="45"/>
      <c r="AP20" s="46"/>
      <c r="AQ20" s="45">
        <v>0</v>
      </c>
      <c r="AR20" s="51" t="s">
        <v>160</v>
      </c>
      <c r="AS20" s="52" t="s">
        <v>161</v>
      </c>
      <c r="AT20" s="77">
        <v>7326909000</v>
      </c>
      <c r="AU20" s="52" t="s">
        <v>162</v>
      </c>
      <c r="AV20" s="52" t="s">
        <v>163</v>
      </c>
      <c r="AW20" s="52" t="s">
        <v>164</v>
      </c>
      <c r="AX20" s="52"/>
    </row>
    <row r="21" s="4" customFormat="1" ht="79" customHeight="1" spans="1:50">
      <c r="A21" s="40">
        <v>18</v>
      </c>
      <c r="B21" s="37">
        <v>46175</v>
      </c>
      <c r="C21" s="38" t="s">
        <v>167</v>
      </c>
      <c r="D21" s="39">
        <v>2551643</v>
      </c>
      <c r="E21" s="40" t="s">
        <v>73</v>
      </c>
      <c r="F21" s="81" t="s">
        <v>157</v>
      </c>
      <c r="G21" s="82"/>
      <c r="H21" s="79"/>
      <c r="I21" s="79" t="s">
        <v>148</v>
      </c>
      <c r="J21" s="51" t="s">
        <v>158</v>
      </c>
      <c r="K21" s="51" t="s">
        <v>159</v>
      </c>
      <c r="L21" s="51"/>
      <c r="M21" s="69">
        <v>12.99</v>
      </c>
      <c r="N21" s="45">
        <v>3.14694262295082</v>
      </c>
      <c r="O21" s="46">
        <v>26.87489</v>
      </c>
      <c r="P21" s="70">
        <v>0.242258862428854</v>
      </c>
      <c r="Q21" s="45">
        <v>3.93734074941452</v>
      </c>
      <c r="R21" s="46">
        <v>33.62489</v>
      </c>
      <c r="S21" s="71">
        <v>0.303105523434528</v>
      </c>
      <c r="T21" s="72" t="s">
        <v>61</v>
      </c>
      <c r="U21" s="72">
        <v>8.54</v>
      </c>
      <c r="V21" s="50">
        <v>0.2</v>
      </c>
      <c r="W21" s="50">
        <v>0.15</v>
      </c>
      <c r="X21" s="44">
        <v>15</v>
      </c>
      <c r="Y21" s="44">
        <v>15</v>
      </c>
      <c r="Z21" s="44">
        <v>6</v>
      </c>
      <c r="AA21" s="73">
        <v>0.225</v>
      </c>
      <c r="AB21" s="44">
        <v>0.16</v>
      </c>
      <c r="AC21" s="49">
        <v>45</v>
      </c>
      <c r="AD21" s="49">
        <v>15</v>
      </c>
      <c r="AE21" s="74">
        <v>10</v>
      </c>
      <c r="AF21" s="48">
        <v>1.17096018735363</v>
      </c>
      <c r="AG21" s="75">
        <v>10.125</v>
      </c>
      <c r="AH21" s="45">
        <v>1.18559718969555</v>
      </c>
      <c r="AI21" s="45">
        <v>3.375</v>
      </c>
      <c r="AJ21" s="45">
        <v>0.39519906323185</v>
      </c>
      <c r="AK21" s="48">
        <v>1.9485</v>
      </c>
      <c r="AL21" s="44">
        <v>2.94</v>
      </c>
      <c r="AM21" s="45">
        <v>2.598</v>
      </c>
      <c r="AN21" s="76">
        <v>0</v>
      </c>
      <c r="AO21" s="45"/>
      <c r="AP21" s="46"/>
      <c r="AQ21" s="45">
        <v>0</v>
      </c>
      <c r="AR21" s="51" t="s">
        <v>160</v>
      </c>
      <c r="AS21" s="52" t="s">
        <v>161</v>
      </c>
      <c r="AT21" s="77">
        <v>7326909000</v>
      </c>
      <c r="AU21" s="52" t="s">
        <v>162</v>
      </c>
      <c r="AV21" s="52" t="s">
        <v>163</v>
      </c>
      <c r="AW21" s="52" t="s">
        <v>164</v>
      </c>
      <c r="AX21" s="52"/>
    </row>
    <row r="22" s="4" customFormat="1" ht="79" customHeight="1" spans="1:50">
      <c r="A22" s="40">
        <v>19</v>
      </c>
      <c r="B22" s="37">
        <v>46175</v>
      </c>
      <c r="C22" s="38" t="s">
        <v>168</v>
      </c>
      <c r="D22" s="39">
        <v>2551644</v>
      </c>
      <c r="E22" s="40" t="s">
        <v>73</v>
      </c>
      <c r="F22" s="78" t="s">
        <v>74</v>
      </c>
      <c r="G22" s="56"/>
      <c r="H22" s="79" t="s">
        <v>169</v>
      </c>
      <c r="I22" s="79"/>
      <c r="J22" s="51" t="s">
        <v>170</v>
      </c>
      <c r="K22" s="51" t="s">
        <v>171</v>
      </c>
      <c r="L22" s="51"/>
      <c r="M22" s="69">
        <v>14.99</v>
      </c>
      <c r="N22" s="45">
        <v>3.09010421545667</v>
      </c>
      <c r="O22" s="46">
        <v>26.38949</v>
      </c>
      <c r="P22" s="70">
        <v>0.206144377281966</v>
      </c>
      <c r="Q22" s="45">
        <v>4.2610644028103</v>
      </c>
      <c r="R22" s="46">
        <v>36.38949</v>
      </c>
      <c r="S22" s="71">
        <v>0.284260467165464</v>
      </c>
      <c r="T22" s="72" t="s">
        <v>61</v>
      </c>
      <c r="U22" s="72">
        <v>8.54</v>
      </c>
      <c r="V22" s="50">
        <v>0.2</v>
      </c>
      <c r="W22" s="50">
        <v>0.15</v>
      </c>
      <c r="X22" s="44">
        <v>40</v>
      </c>
      <c r="Y22" s="44">
        <v>10</v>
      </c>
      <c r="Z22" s="44">
        <v>5</v>
      </c>
      <c r="AA22" s="73">
        <v>0.333333333333333</v>
      </c>
      <c r="AB22" s="44">
        <v>0.3</v>
      </c>
      <c r="AC22" s="49">
        <v>45</v>
      </c>
      <c r="AD22" s="49">
        <v>15</v>
      </c>
      <c r="AE22" s="74">
        <v>16.2</v>
      </c>
      <c r="AF22" s="48">
        <v>1.89695550351288</v>
      </c>
      <c r="AG22" s="75">
        <v>15</v>
      </c>
      <c r="AH22" s="45">
        <v>1.75644028103045</v>
      </c>
      <c r="AI22" s="45">
        <v>5</v>
      </c>
      <c r="AJ22" s="45">
        <v>0.585480093676815</v>
      </c>
      <c r="AK22" s="48">
        <v>2.2485</v>
      </c>
      <c r="AL22" s="44">
        <v>3</v>
      </c>
      <c r="AM22" s="45">
        <v>2.998</v>
      </c>
      <c r="AN22" s="76">
        <v>0</v>
      </c>
      <c r="AO22" s="45"/>
      <c r="AP22" s="46"/>
      <c r="AQ22" s="45">
        <v>0</v>
      </c>
      <c r="AR22" s="51" t="s">
        <v>172</v>
      </c>
      <c r="AS22" s="52" t="s">
        <v>173</v>
      </c>
      <c r="AT22" s="77">
        <v>9603909090</v>
      </c>
      <c r="AU22" s="52" t="s">
        <v>174</v>
      </c>
      <c r="AV22" s="52" t="s">
        <v>175</v>
      </c>
      <c r="AW22" s="52" t="s">
        <v>176</v>
      </c>
      <c r="AX22" s="84"/>
    </row>
    <row r="23" s="4" customFormat="1" ht="79" customHeight="1" spans="1:50">
      <c r="A23" s="40">
        <v>20</v>
      </c>
      <c r="B23" s="37">
        <v>46175</v>
      </c>
      <c r="C23" s="38" t="s">
        <v>177</v>
      </c>
      <c r="D23" s="39">
        <v>2551645</v>
      </c>
      <c r="E23" s="40" t="s">
        <v>73</v>
      </c>
      <c r="F23" s="55"/>
      <c r="G23" s="56"/>
      <c r="H23" s="79" t="s">
        <v>178</v>
      </c>
      <c r="I23" s="79"/>
      <c r="J23" s="51" t="s">
        <v>179</v>
      </c>
      <c r="K23" s="51" t="s">
        <v>180</v>
      </c>
      <c r="L23" s="51"/>
      <c r="M23" s="69">
        <v>15.99</v>
      </c>
      <c r="N23" s="45">
        <v>3.12564285714286</v>
      </c>
      <c r="O23" s="46">
        <v>26.69299</v>
      </c>
      <c r="P23" s="70">
        <v>0.195474850352899</v>
      </c>
      <c r="Q23" s="45">
        <v>4.80772716627635</v>
      </c>
      <c r="R23" s="46">
        <v>41.05799</v>
      </c>
      <c r="S23" s="71">
        <v>0.300670867184262</v>
      </c>
      <c r="T23" s="72" t="s">
        <v>61</v>
      </c>
      <c r="U23" s="72">
        <v>8.54</v>
      </c>
      <c r="V23" s="50">
        <v>0.2</v>
      </c>
      <c r="W23" s="50">
        <v>0.15</v>
      </c>
      <c r="X23" s="44">
        <v>17</v>
      </c>
      <c r="Y23" s="44">
        <v>13</v>
      </c>
      <c r="Z23" s="44">
        <v>13</v>
      </c>
      <c r="AA23" s="73">
        <v>0.478833333333333</v>
      </c>
      <c r="AB23" s="44">
        <v>0.2</v>
      </c>
      <c r="AC23" s="49">
        <v>45</v>
      </c>
      <c r="AD23" s="49">
        <v>15</v>
      </c>
      <c r="AE23" s="74">
        <v>14.9</v>
      </c>
      <c r="AF23" s="48">
        <v>1.74473067915691</v>
      </c>
      <c r="AG23" s="75">
        <v>21.5475</v>
      </c>
      <c r="AH23" s="45">
        <v>2.52312646370023</v>
      </c>
      <c r="AI23" s="45">
        <v>7.1825</v>
      </c>
      <c r="AJ23" s="45">
        <v>0.841042154566745</v>
      </c>
      <c r="AK23" s="48">
        <v>2.3985</v>
      </c>
      <c r="AL23" s="44">
        <v>3</v>
      </c>
      <c r="AM23" s="45">
        <v>3.198</v>
      </c>
      <c r="AN23" s="76">
        <v>0</v>
      </c>
      <c r="AO23" s="45"/>
      <c r="AP23" s="46"/>
      <c r="AQ23" s="45">
        <v>0</v>
      </c>
      <c r="AR23" s="51" t="s">
        <v>181</v>
      </c>
      <c r="AS23" s="52" t="s">
        <v>182</v>
      </c>
      <c r="AT23" s="77">
        <v>9503009900</v>
      </c>
      <c r="AU23" s="52" t="s">
        <v>183</v>
      </c>
      <c r="AV23" s="52" t="s">
        <v>184</v>
      </c>
      <c r="AW23" s="52" t="s">
        <v>185</v>
      </c>
      <c r="AX23" s="52"/>
    </row>
    <row r="24" s="4" customFormat="1" ht="79" customHeight="1" spans="1:50">
      <c r="A24" s="40">
        <v>21</v>
      </c>
      <c r="B24" s="37">
        <v>46175</v>
      </c>
      <c r="C24" s="38" t="s">
        <v>186</v>
      </c>
      <c r="D24" s="39">
        <v>2551646</v>
      </c>
      <c r="E24" s="40" t="s">
        <v>73</v>
      </c>
      <c r="F24" s="78" t="s">
        <v>74</v>
      </c>
      <c r="G24" s="56"/>
      <c r="H24" s="79" t="s">
        <v>137</v>
      </c>
      <c r="I24" s="79"/>
      <c r="J24" s="51" t="s">
        <v>187</v>
      </c>
      <c r="K24" s="51" t="s">
        <v>188</v>
      </c>
      <c r="L24" s="51"/>
      <c r="M24" s="69">
        <v>6.99</v>
      </c>
      <c r="N24" s="45">
        <v>1.71202459016393</v>
      </c>
      <c r="O24" s="46">
        <v>14.62069</v>
      </c>
      <c r="P24" s="70">
        <v>0.244924834072094</v>
      </c>
      <c r="Q24" s="45">
        <v>1.92279742388759</v>
      </c>
      <c r="R24" s="46">
        <v>16.42069</v>
      </c>
      <c r="S24" s="71">
        <v>0.2750783152915</v>
      </c>
      <c r="T24" s="72" t="s">
        <v>61</v>
      </c>
      <c r="U24" s="72">
        <v>8.54</v>
      </c>
      <c r="V24" s="50">
        <v>0.2</v>
      </c>
      <c r="W24" s="50">
        <v>0.15</v>
      </c>
      <c r="X24" s="44">
        <v>21</v>
      </c>
      <c r="Y24" s="44">
        <v>17</v>
      </c>
      <c r="Z24" s="44">
        <v>1</v>
      </c>
      <c r="AA24" s="73">
        <v>0.0595</v>
      </c>
      <c r="AB24" s="44">
        <v>0.06</v>
      </c>
      <c r="AC24" s="49">
        <v>45</v>
      </c>
      <c r="AD24" s="49">
        <v>15</v>
      </c>
      <c r="AE24" s="74">
        <v>8.5</v>
      </c>
      <c r="AF24" s="48">
        <v>0.995316159250586</v>
      </c>
      <c r="AG24" s="75">
        <v>2.7</v>
      </c>
      <c r="AH24" s="45">
        <v>0.31615925058548</v>
      </c>
      <c r="AI24" s="45">
        <v>0.9</v>
      </c>
      <c r="AJ24" s="45">
        <v>0.105386416861827</v>
      </c>
      <c r="AK24" s="48">
        <v>1.0485</v>
      </c>
      <c r="AL24" s="44">
        <v>1.52</v>
      </c>
      <c r="AM24" s="45">
        <v>1.398</v>
      </c>
      <c r="AN24" s="76">
        <v>0</v>
      </c>
      <c r="AO24" s="45"/>
      <c r="AP24" s="46"/>
      <c r="AQ24" s="45">
        <v>0</v>
      </c>
      <c r="AR24" s="51" t="s">
        <v>189</v>
      </c>
      <c r="AS24" s="52" t="s">
        <v>190</v>
      </c>
      <c r="AT24" s="77">
        <v>4909000000</v>
      </c>
      <c r="AU24" s="52" t="s">
        <v>90</v>
      </c>
      <c r="AV24" s="52" t="s">
        <v>191</v>
      </c>
      <c r="AW24" s="52" t="s">
        <v>192</v>
      </c>
      <c r="AX24" s="52"/>
    </row>
    <row r="25" s="4" customFormat="1" ht="79" customHeight="1" spans="1:50">
      <c r="A25" s="40">
        <v>22</v>
      </c>
      <c r="B25" s="37">
        <v>46175</v>
      </c>
      <c r="C25" s="38" t="s">
        <v>193</v>
      </c>
      <c r="D25" s="39">
        <v>2551647</v>
      </c>
      <c r="E25" s="40" t="s">
        <v>73</v>
      </c>
      <c r="F25" s="78" t="s">
        <v>69</v>
      </c>
      <c r="G25" s="56"/>
      <c r="H25" s="79" t="s">
        <v>137</v>
      </c>
      <c r="I25" s="79"/>
      <c r="J25" s="51" t="s">
        <v>187</v>
      </c>
      <c r="K25" s="51" t="s">
        <v>188</v>
      </c>
      <c r="L25" s="51"/>
      <c r="M25" s="69">
        <v>6.99</v>
      </c>
      <c r="N25" s="45">
        <v>1.71202459016393</v>
      </c>
      <c r="O25" s="46">
        <v>14.62069</v>
      </c>
      <c r="P25" s="70">
        <v>0.244924834072094</v>
      </c>
      <c r="Q25" s="45">
        <v>1.92279742388759</v>
      </c>
      <c r="R25" s="46">
        <v>16.42069</v>
      </c>
      <c r="S25" s="71">
        <v>0.2750783152915</v>
      </c>
      <c r="T25" s="72" t="s">
        <v>61</v>
      </c>
      <c r="U25" s="72">
        <v>8.54</v>
      </c>
      <c r="V25" s="50">
        <v>0.2</v>
      </c>
      <c r="W25" s="50">
        <v>0.15</v>
      </c>
      <c r="X25" s="44">
        <v>21</v>
      </c>
      <c r="Y25" s="44">
        <v>17</v>
      </c>
      <c r="Z25" s="44">
        <v>1</v>
      </c>
      <c r="AA25" s="73">
        <v>0.0595</v>
      </c>
      <c r="AB25" s="44">
        <v>0.06</v>
      </c>
      <c r="AC25" s="49">
        <v>45</v>
      </c>
      <c r="AD25" s="49">
        <v>15</v>
      </c>
      <c r="AE25" s="74">
        <v>8.5</v>
      </c>
      <c r="AF25" s="48">
        <v>0.995316159250586</v>
      </c>
      <c r="AG25" s="75">
        <v>2.7</v>
      </c>
      <c r="AH25" s="45">
        <v>0.31615925058548</v>
      </c>
      <c r="AI25" s="45">
        <v>0.9</v>
      </c>
      <c r="AJ25" s="45">
        <v>0.105386416861827</v>
      </c>
      <c r="AK25" s="48">
        <v>1.0485</v>
      </c>
      <c r="AL25" s="44">
        <v>1.52</v>
      </c>
      <c r="AM25" s="45">
        <v>1.398</v>
      </c>
      <c r="AN25" s="76">
        <v>0</v>
      </c>
      <c r="AO25" s="45"/>
      <c r="AP25" s="46"/>
      <c r="AQ25" s="45">
        <v>0</v>
      </c>
      <c r="AR25" s="51" t="s">
        <v>189</v>
      </c>
      <c r="AS25" s="52" t="s">
        <v>190</v>
      </c>
      <c r="AT25" s="77">
        <v>4909000000</v>
      </c>
      <c r="AU25" s="52" t="s">
        <v>90</v>
      </c>
      <c r="AV25" s="52" t="s">
        <v>191</v>
      </c>
      <c r="AW25" s="52" t="s">
        <v>192</v>
      </c>
      <c r="AX25" s="52"/>
    </row>
    <row r="26" s="4" customFormat="1" ht="79" customHeight="1" spans="1:50">
      <c r="A26" s="40">
        <v>23</v>
      </c>
      <c r="B26" s="37">
        <v>46175</v>
      </c>
      <c r="C26" s="38" t="s">
        <v>194</v>
      </c>
      <c r="D26" s="39">
        <v>2551648</v>
      </c>
      <c r="E26" s="40" t="s">
        <v>73</v>
      </c>
      <c r="F26" s="55"/>
      <c r="G26" s="56"/>
      <c r="H26" s="79" t="s">
        <v>137</v>
      </c>
      <c r="I26" s="79"/>
      <c r="J26" s="51" t="s">
        <v>187</v>
      </c>
      <c r="K26" s="51" t="s">
        <v>188</v>
      </c>
      <c r="L26" s="51"/>
      <c r="M26" s="69">
        <v>6.99</v>
      </c>
      <c r="N26" s="45">
        <v>1.71202459016393</v>
      </c>
      <c r="O26" s="46">
        <v>14.62069</v>
      </c>
      <c r="P26" s="70">
        <v>0.244924834072094</v>
      </c>
      <c r="Q26" s="45">
        <v>1.92279742388759</v>
      </c>
      <c r="R26" s="46">
        <v>16.42069</v>
      </c>
      <c r="S26" s="71">
        <v>0.2750783152915</v>
      </c>
      <c r="T26" s="72" t="s">
        <v>61</v>
      </c>
      <c r="U26" s="72">
        <v>8.54</v>
      </c>
      <c r="V26" s="50">
        <v>0.2</v>
      </c>
      <c r="W26" s="50">
        <v>0.15</v>
      </c>
      <c r="X26" s="44">
        <v>21</v>
      </c>
      <c r="Y26" s="44">
        <v>17</v>
      </c>
      <c r="Z26" s="44">
        <v>1</v>
      </c>
      <c r="AA26" s="73">
        <v>0.0595</v>
      </c>
      <c r="AB26" s="44">
        <v>0.06</v>
      </c>
      <c r="AC26" s="49">
        <v>45</v>
      </c>
      <c r="AD26" s="49">
        <v>15</v>
      </c>
      <c r="AE26" s="74">
        <v>8.5</v>
      </c>
      <c r="AF26" s="48">
        <v>0.995316159250586</v>
      </c>
      <c r="AG26" s="75">
        <v>2.7</v>
      </c>
      <c r="AH26" s="45">
        <v>0.31615925058548</v>
      </c>
      <c r="AI26" s="45">
        <v>0.9</v>
      </c>
      <c r="AJ26" s="45">
        <v>0.105386416861827</v>
      </c>
      <c r="AK26" s="48">
        <v>1.0485</v>
      </c>
      <c r="AL26" s="44">
        <v>1.52</v>
      </c>
      <c r="AM26" s="45">
        <v>1.398</v>
      </c>
      <c r="AN26" s="76">
        <v>0</v>
      </c>
      <c r="AO26" s="45"/>
      <c r="AP26" s="46"/>
      <c r="AQ26" s="45">
        <v>0</v>
      </c>
      <c r="AR26" s="51" t="s">
        <v>189</v>
      </c>
      <c r="AS26" s="52" t="s">
        <v>190</v>
      </c>
      <c r="AT26" s="77">
        <v>4909000000</v>
      </c>
      <c r="AU26" s="52" t="s">
        <v>90</v>
      </c>
      <c r="AV26" s="52" t="s">
        <v>191</v>
      </c>
      <c r="AW26" s="52" t="s">
        <v>192</v>
      </c>
      <c r="AX26" s="52"/>
    </row>
    <row r="27" s="4" customFormat="1" ht="79" customHeight="1" spans="1:50">
      <c r="A27" s="40">
        <v>24</v>
      </c>
      <c r="B27" s="37">
        <v>46175</v>
      </c>
      <c r="C27" s="38" t="s">
        <v>195</v>
      </c>
      <c r="D27" s="39">
        <v>2551649</v>
      </c>
      <c r="E27" s="40" t="s">
        <v>73</v>
      </c>
      <c r="F27" s="78" t="s">
        <v>74</v>
      </c>
      <c r="G27" s="56"/>
      <c r="H27" s="79" t="s">
        <v>196</v>
      </c>
      <c r="I27" s="79"/>
      <c r="J27" s="51" t="s">
        <v>197</v>
      </c>
      <c r="K27" s="51" t="s">
        <v>198</v>
      </c>
      <c r="L27" s="51"/>
      <c r="M27" s="69">
        <v>9.99</v>
      </c>
      <c r="N27" s="45">
        <v>2.10511592505855</v>
      </c>
      <c r="O27" s="46">
        <v>17.97769</v>
      </c>
      <c r="P27" s="70">
        <v>0.210722314820675</v>
      </c>
      <c r="Q27" s="45">
        <v>2.28075995316159</v>
      </c>
      <c r="R27" s="46">
        <v>19.47769</v>
      </c>
      <c r="S27" s="71">
        <v>0.228304299615775</v>
      </c>
      <c r="T27" s="72" t="s">
        <v>61</v>
      </c>
      <c r="U27" s="72">
        <v>8.54</v>
      </c>
      <c r="V27" s="50">
        <v>0.2</v>
      </c>
      <c r="W27" s="50">
        <v>0.15</v>
      </c>
      <c r="X27" s="44">
        <v>6</v>
      </c>
      <c r="Y27" s="44">
        <v>6</v>
      </c>
      <c r="Z27" s="44">
        <v>4</v>
      </c>
      <c r="AA27" s="73">
        <v>0.024</v>
      </c>
      <c r="AB27" s="44">
        <v>0.05</v>
      </c>
      <c r="AC27" s="49">
        <v>45</v>
      </c>
      <c r="AD27" s="49">
        <v>15</v>
      </c>
      <c r="AE27" s="74">
        <v>14.56</v>
      </c>
      <c r="AF27" s="48">
        <v>1.70491803278689</v>
      </c>
      <c r="AG27" s="75">
        <v>2.25</v>
      </c>
      <c r="AH27" s="45">
        <v>0.263466042154567</v>
      </c>
      <c r="AI27" s="45">
        <v>0.75</v>
      </c>
      <c r="AJ27" s="45">
        <v>0.0878220140515223</v>
      </c>
      <c r="AK27" s="48">
        <v>1.4985</v>
      </c>
      <c r="AL27" s="44">
        <v>2.42</v>
      </c>
      <c r="AM27" s="45">
        <v>1.998</v>
      </c>
      <c r="AN27" s="76">
        <v>0</v>
      </c>
      <c r="AO27" s="45"/>
      <c r="AP27" s="46"/>
      <c r="AQ27" s="45">
        <v>0</v>
      </c>
      <c r="AR27" s="51" t="s">
        <v>199</v>
      </c>
      <c r="AS27" s="52" t="s">
        <v>200</v>
      </c>
      <c r="AT27" s="77">
        <v>7609000000</v>
      </c>
      <c r="AU27" s="52" t="s">
        <v>201</v>
      </c>
      <c r="AV27" s="52" t="s">
        <v>202</v>
      </c>
      <c r="AW27" s="52" t="s">
        <v>203</v>
      </c>
      <c r="AX27" s="52"/>
    </row>
    <row r="28" s="4" customFormat="1" ht="79" customHeight="1" spans="1:50">
      <c r="A28" s="40">
        <v>25</v>
      </c>
      <c r="B28" s="37">
        <v>46175</v>
      </c>
      <c r="C28" s="38" t="s">
        <v>204</v>
      </c>
      <c r="D28" s="39">
        <v>2551650</v>
      </c>
      <c r="E28" s="40" t="s">
        <v>73</v>
      </c>
      <c r="F28" s="55" t="s">
        <v>205</v>
      </c>
      <c r="G28" s="56"/>
      <c r="H28" s="79" t="s">
        <v>206</v>
      </c>
      <c r="I28" s="79"/>
      <c r="J28" s="51" t="s">
        <v>207</v>
      </c>
      <c r="K28" s="51" t="s">
        <v>208</v>
      </c>
      <c r="L28" s="51"/>
      <c r="M28" s="69">
        <v>8.99</v>
      </c>
      <c r="N28" s="45">
        <v>1.82104098360656</v>
      </c>
      <c r="O28" s="46">
        <v>15.55169</v>
      </c>
      <c r="P28" s="70">
        <v>0.202562957019639</v>
      </c>
      <c r="Q28" s="45">
        <v>2.13720023419204</v>
      </c>
      <c r="R28" s="46">
        <v>18.25169</v>
      </c>
      <c r="S28" s="71">
        <v>0.23773083806363</v>
      </c>
      <c r="T28" s="72" t="s">
        <v>61</v>
      </c>
      <c r="U28" s="72">
        <v>8.54</v>
      </c>
      <c r="V28" s="50">
        <v>0.2</v>
      </c>
      <c r="W28" s="50">
        <v>0.15</v>
      </c>
      <c r="X28" s="44">
        <v>8</v>
      </c>
      <c r="Y28" s="44">
        <v>8</v>
      </c>
      <c r="Z28" s="44">
        <v>8</v>
      </c>
      <c r="AA28" s="73">
        <v>0.0853333333333333</v>
      </c>
      <c r="AB28" s="44">
        <v>0.09</v>
      </c>
      <c r="AC28" s="49">
        <v>45</v>
      </c>
      <c r="AD28" s="49">
        <v>15</v>
      </c>
      <c r="AE28" s="74">
        <v>7.5</v>
      </c>
      <c r="AF28" s="48">
        <v>0.878220140515223</v>
      </c>
      <c r="AG28" s="75">
        <v>4.05</v>
      </c>
      <c r="AH28" s="45">
        <v>0.47423887587822</v>
      </c>
      <c r="AI28" s="45">
        <v>1.35</v>
      </c>
      <c r="AJ28" s="45">
        <v>0.15807962529274</v>
      </c>
      <c r="AK28" s="48">
        <v>1.3485</v>
      </c>
      <c r="AL28" s="44">
        <v>2.67</v>
      </c>
      <c r="AM28" s="45">
        <v>1.798</v>
      </c>
      <c r="AN28" s="76">
        <v>0</v>
      </c>
      <c r="AO28" s="45"/>
      <c r="AP28" s="46"/>
      <c r="AQ28" s="45">
        <v>0</v>
      </c>
      <c r="AR28" s="51" t="s">
        <v>209</v>
      </c>
      <c r="AS28" s="52" t="s">
        <v>210</v>
      </c>
      <c r="AT28" s="77">
        <v>9506999000</v>
      </c>
      <c r="AU28" s="52" t="s">
        <v>211</v>
      </c>
      <c r="AV28" s="52" t="s">
        <v>212</v>
      </c>
      <c r="AW28" s="52" t="s">
        <v>213</v>
      </c>
      <c r="AX28" s="52"/>
    </row>
    <row r="29" s="4" customFormat="1" ht="79" customHeight="1" spans="1:50">
      <c r="A29" s="40">
        <v>26</v>
      </c>
      <c r="B29" s="37">
        <v>46175</v>
      </c>
      <c r="C29" s="38" t="s">
        <v>214</v>
      </c>
      <c r="D29" s="39">
        <v>2551651</v>
      </c>
      <c r="E29" s="40" t="s">
        <v>73</v>
      </c>
      <c r="F29" s="55" t="s">
        <v>205</v>
      </c>
      <c r="G29" s="56"/>
      <c r="H29" s="79" t="s">
        <v>206</v>
      </c>
      <c r="I29" s="79"/>
      <c r="J29" s="51" t="s">
        <v>207</v>
      </c>
      <c r="K29" s="51" t="s">
        <v>208</v>
      </c>
      <c r="L29" s="51"/>
      <c r="M29" s="69">
        <v>8.99</v>
      </c>
      <c r="N29" s="45">
        <v>1.82104098360656</v>
      </c>
      <c r="O29" s="46">
        <v>15.55169</v>
      </c>
      <c r="P29" s="70">
        <v>0.202562957019639</v>
      </c>
      <c r="Q29" s="45">
        <v>2.13720023419204</v>
      </c>
      <c r="R29" s="46">
        <v>18.25169</v>
      </c>
      <c r="S29" s="71">
        <v>0.23773083806363</v>
      </c>
      <c r="T29" s="72" t="s">
        <v>61</v>
      </c>
      <c r="U29" s="72">
        <v>8.54</v>
      </c>
      <c r="V29" s="50">
        <v>0.2</v>
      </c>
      <c r="W29" s="50">
        <v>0.15</v>
      </c>
      <c r="X29" s="44">
        <v>8</v>
      </c>
      <c r="Y29" s="44">
        <v>8</v>
      </c>
      <c r="Z29" s="44">
        <v>8</v>
      </c>
      <c r="AA29" s="73">
        <v>0.0853333333333333</v>
      </c>
      <c r="AB29" s="44">
        <v>0.09</v>
      </c>
      <c r="AC29" s="49">
        <v>45</v>
      </c>
      <c r="AD29" s="49">
        <v>15</v>
      </c>
      <c r="AE29" s="74">
        <v>7.5</v>
      </c>
      <c r="AF29" s="48">
        <v>0.878220140515223</v>
      </c>
      <c r="AG29" s="75">
        <v>4.05</v>
      </c>
      <c r="AH29" s="45">
        <v>0.47423887587822</v>
      </c>
      <c r="AI29" s="45">
        <v>1.35</v>
      </c>
      <c r="AJ29" s="45">
        <v>0.15807962529274</v>
      </c>
      <c r="AK29" s="48">
        <v>1.3485</v>
      </c>
      <c r="AL29" s="44">
        <v>2.67</v>
      </c>
      <c r="AM29" s="45">
        <v>1.798</v>
      </c>
      <c r="AN29" s="76">
        <v>0</v>
      </c>
      <c r="AO29" s="45"/>
      <c r="AP29" s="46"/>
      <c r="AQ29" s="45">
        <v>0</v>
      </c>
      <c r="AR29" s="51" t="s">
        <v>209</v>
      </c>
      <c r="AS29" s="52" t="s">
        <v>210</v>
      </c>
      <c r="AT29" s="77">
        <v>9506999000</v>
      </c>
      <c r="AU29" s="52" t="s">
        <v>211</v>
      </c>
      <c r="AV29" s="52" t="s">
        <v>212</v>
      </c>
      <c r="AW29" s="52" t="s">
        <v>213</v>
      </c>
      <c r="AX29" s="52" t="s">
        <v>215</v>
      </c>
    </row>
    <row r="30" s="4" customFormat="1" ht="79" customHeight="1" spans="1:50">
      <c r="A30" s="40">
        <v>27</v>
      </c>
      <c r="B30" s="37">
        <v>46175</v>
      </c>
      <c r="C30" s="38" t="s">
        <v>216</v>
      </c>
      <c r="D30" s="39">
        <v>2551652</v>
      </c>
      <c r="E30" s="40" t="s">
        <v>73</v>
      </c>
      <c r="F30" s="55" t="s">
        <v>205</v>
      </c>
      <c r="G30" s="56"/>
      <c r="H30" s="79" t="s">
        <v>206</v>
      </c>
      <c r="I30" s="79"/>
      <c r="J30" s="51" t="s">
        <v>207</v>
      </c>
      <c r="K30" s="51" t="s">
        <v>208</v>
      </c>
      <c r="L30" s="51"/>
      <c r="M30" s="69">
        <v>8.99</v>
      </c>
      <c r="N30" s="45">
        <v>1.82104098360656</v>
      </c>
      <c r="O30" s="46">
        <v>15.55169</v>
      </c>
      <c r="P30" s="70">
        <v>0.202562957019639</v>
      </c>
      <c r="Q30" s="45">
        <v>2.13720023419204</v>
      </c>
      <c r="R30" s="46">
        <v>18.25169</v>
      </c>
      <c r="S30" s="71">
        <v>0.23773083806363</v>
      </c>
      <c r="T30" s="72" t="s">
        <v>61</v>
      </c>
      <c r="U30" s="72">
        <v>8.54</v>
      </c>
      <c r="V30" s="50">
        <v>0.2</v>
      </c>
      <c r="W30" s="50">
        <v>0.15</v>
      </c>
      <c r="X30" s="44">
        <v>8</v>
      </c>
      <c r="Y30" s="44">
        <v>8</v>
      </c>
      <c r="Z30" s="44">
        <v>8</v>
      </c>
      <c r="AA30" s="73">
        <v>0.0853333333333333</v>
      </c>
      <c r="AB30" s="44">
        <v>0.09</v>
      </c>
      <c r="AC30" s="49">
        <v>45</v>
      </c>
      <c r="AD30" s="49">
        <v>15</v>
      </c>
      <c r="AE30" s="74">
        <v>7.5</v>
      </c>
      <c r="AF30" s="48">
        <v>0.878220140515223</v>
      </c>
      <c r="AG30" s="75">
        <v>4.05</v>
      </c>
      <c r="AH30" s="45">
        <v>0.47423887587822</v>
      </c>
      <c r="AI30" s="45">
        <v>1.35</v>
      </c>
      <c r="AJ30" s="45">
        <v>0.15807962529274</v>
      </c>
      <c r="AK30" s="48">
        <v>1.3485</v>
      </c>
      <c r="AL30" s="44">
        <v>2.67</v>
      </c>
      <c r="AM30" s="45">
        <v>1.798</v>
      </c>
      <c r="AN30" s="76">
        <v>0</v>
      </c>
      <c r="AO30" s="45"/>
      <c r="AP30" s="46"/>
      <c r="AQ30" s="45">
        <v>0</v>
      </c>
      <c r="AR30" s="51" t="s">
        <v>209</v>
      </c>
      <c r="AS30" s="52" t="s">
        <v>210</v>
      </c>
      <c r="AT30" s="77">
        <v>9506999000</v>
      </c>
      <c r="AU30" s="52" t="s">
        <v>211</v>
      </c>
      <c r="AV30" s="52" t="s">
        <v>212</v>
      </c>
      <c r="AW30" s="52" t="s">
        <v>213</v>
      </c>
      <c r="AX30" s="52" t="s">
        <v>215</v>
      </c>
    </row>
    <row r="31" s="4" customFormat="1" ht="79" customHeight="1" spans="1:50">
      <c r="A31" s="40">
        <v>28</v>
      </c>
      <c r="B31" s="37">
        <v>46175</v>
      </c>
      <c r="C31" s="38" t="s">
        <v>217</v>
      </c>
      <c r="D31" s="39">
        <v>2551653</v>
      </c>
      <c r="E31" s="40" t="s">
        <v>73</v>
      </c>
      <c r="F31" s="78" t="s">
        <v>69</v>
      </c>
      <c r="G31" s="56"/>
      <c r="H31" s="79" t="s">
        <v>206</v>
      </c>
      <c r="I31" s="79"/>
      <c r="J31" s="51" t="s">
        <v>207</v>
      </c>
      <c r="K31" s="51" t="s">
        <v>208</v>
      </c>
      <c r="L31" s="51"/>
      <c r="M31" s="69">
        <v>8.99</v>
      </c>
      <c r="N31" s="45">
        <v>1.82104098360656</v>
      </c>
      <c r="O31" s="46">
        <v>15.55169</v>
      </c>
      <c r="P31" s="70">
        <v>0.202562957019639</v>
      </c>
      <c r="Q31" s="45">
        <v>2.13720023419204</v>
      </c>
      <c r="R31" s="46">
        <v>18.25169</v>
      </c>
      <c r="S31" s="71">
        <v>0.23773083806363</v>
      </c>
      <c r="T31" s="72" t="s">
        <v>61</v>
      </c>
      <c r="U31" s="72">
        <v>8.54</v>
      </c>
      <c r="V31" s="50">
        <v>0.2</v>
      </c>
      <c r="W31" s="50">
        <v>0.15</v>
      </c>
      <c r="X31" s="44">
        <v>8</v>
      </c>
      <c r="Y31" s="44">
        <v>8</v>
      </c>
      <c r="Z31" s="44">
        <v>8</v>
      </c>
      <c r="AA31" s="73">
        <v>0.0853333333333333</v>
      </c>
      <c r="AB31" s="44">
        <v>0.09</v>
      </c>
      <c r="AC31" s="49">
        <v>45</v>
      </c>
      <c r="AD31" s="49">
        <v>15</v>
      </c>
      <c r="AE31" s="74">
        <v>7.5</v>
      </c>
      <c r="AF31" s="48">
        <v>0.878220140515223</v>
      </c>
      <c r="AG31" s="75">
        <v>4.05</v>
      </c>
      <c r="AH31" s="45">
        <v>0.47423887587822</v>
      </c>
      <c r="AI31" s="45">
        <v>1.35</v>
      </c>
      <c r="AJ31" s="45">
        <v>0.15807962529274</v>
      </c>
      <c r="AK31" s="48">
        <v>1.3485</v>
      </c>
      <c r="AL31" s="44">
        <v>2.67</v>
      </c>
      <c r="AM31" s="45">
        <v>1.798</v>
      </c>
      <c r="AN31" s="76">
        <v>0</v>
      </c>
      <c r="AO31" s="45"/>
      <c r="AP31" s="46"/>
      <c r="AQ31" s="45">
        <v>0</v>
      </c>
      <c r="AR31" s="51" t="s">
        <v>209</v>
      </c>
      <c r="AS31" s="52" t="s">
        <v>210</v>
      </c>
      <c r="AT31" s="77">
        <v>9506999000</v>
      </c>
      <c r="AU31" s="52" t="s">
        <v>211</v>
      </c>
      <c r="AV31" s="52" t="s">
        <v>212</v>
      </c>
      <c r="AW31" s="52" t="s">
        <v>213</v>
      </c>
      <c r="AX31" s="52" t="s">
        <v>215</v>
      </c>
    </row>
    <row r="32" s="4" customFormat="1" ht="79" customHeight="1" spans="1:50">
      <c r="A32" s="40">
        <v>29</v>
      </c>
      <c r="B32" s="37">
        <v>46175</v>
      </c>
      <c r="C32" s="38" t="s">
        <v>218</v>
      </c>
      <c r="D32" s="39">
        <v>2551654</v>
      </c>
      <c r="E32" s="40" t="s">
        <v>73</v>
      </c>
      <c r="F32" s="78" t="s">
        <v>69</v>
      </c>
      <c r="G32" s="56"/>
      <c r="H32" s="79" t="s">
        <v>206</v>
      </c>
      <c r="I32" s="79"/>
      <c r="J32" s="51" t="s">
        <v>219</v>
      </c>
      <c r="K32" s="51" t="s">
        <v>220</v>
      </c>
      <c r="L32" s="51" t="s">
        <v>221</v>
      </c>
      <c r="M32" s="69">
        <v>14.99</v>
      </c>
      <c r="N32" s="45">
        <v>3.33307845433255</v>
      </c>
      <c r="O32" s="46">
        <v>28.46449</v>
      </c>
      <c r="P32" s="70">
        <v>0.222353465932792</v>
      </c>
      <c r="Q32" s="45">
        <v>4.35766861826698</v>
      </c>
      <c r="R32" s="46">
        <v>37.21449</v>
      </c>
      <c r="S32" s="71">
        <v>0.290705044580853</v>
      </c>
      <c r="T32" s="72" t="s">
        <v>61</v>
      </c>
      <c r="U32" s="72">
        <v>8.54</v>
      </c>
      <c r="V32" s="50">
        <v>0.2</v>
      </c>
      <c r="W32" s="50">
        <v>0.15</v>
      </c>
      <c r="X32" s="44">
        <v>35</v>
      </c>
      <c r="Y32" s="44">
        <v>25</v>
      </c>
      <c r="Z32" s="44">
        <v>2</v>
      </c>
      <c r="AA32" s="73">
        <v>0.291666666666667</v>
      </c>
      <c r="AB32" s="44">
        <v>0.2</v>
      </c>
      <c r="AC32" s="49">
        <v>45</v>
      </c>
      <c r="AD32" s="49">
        <v>15</v>
      </c>
      <c r="AE32" s="74">
        <v>16</v>
      </c>
      <c r="AF32" s="48">
        <v>1.87353629976581</v>
      </c>
      <c r="AG32" s="75">
        <v>13.125</v>
      </c>
      <c r="AH32" s="45">
        <v>1.53688524590164</v>
      </c>
      <c r="AI32" s="45">
        <v>4.375</v>
      </c>
      <c r="AJ32" s="45">
        <v>0.512295081967213</v>
      </c>
      <c r="AK32" s="48">
        <v>2.2485</v>
      </c>
      <c r="AL32" s="44">
        <v>3</v>
      </c>
      <c r="AM32" s="45">
        <v>2.998</v>
      </c>
      <c r="AN32" s="76">
        <v>0</v>
      </c>
      <c r="AO32" s="45"/>
      <c r="AP32" s="46"/>
      <c r="AQ32" s="45">
        <v>0</v>
      </c>
      <c r="AR32" s="51" t="s">
        <v>222</v>
      </c>
      <c r="AS32" s="52" t="s">
        <v>223</v>
      </c>
      <c r="AT32" s="77">
        <v>3926909090</v>
      </c>
      <c r="AU32" s="52" t="s">
        <v>224</v>
      </c>
      <c r="AV32" s="52" t="s">
        <v>225</v>
      </c>
      <c r="AW32" s="52" t="s">
        <v>226</v>
      </c>
      <c r="AX32" s="80" t="s">
        <v>227</v>
      </c>
    </row>
    <row r="33" s="4" customFormat="1" ht="79" customHeight="1" spans="1:50">
      <c r="A33" s="40">
        <v>30</v>
      </c>
      <c r="B33" s="37">
        <v>46175</v>
      </c>
      <c r="C33" s="38" t="s">
        <v>228</v>
      </c>
      <c r="D33" s="85">
        <v>2551655</v>
      </c>
      <c r="E33" s="40" t="s">
        <v>73</v>
      </c>
      <c r="F33" s="78" t="s">
        <v>74</v>
      </c>
      <c r="G33" s="56"/>
      <c r="H33" s="79" t="s">
        <v>206</v>
      </c>
      <c r="I33" s="79"/>
      <c r="J33" s="51" t="s">
        <v>229</v>
      </c>
      <c r="K33" s="51" t="s">
        <v>230</v>
      </c>
      <c r="L33" s="51"/>
      <c r="M33" s="86">
        <v>13.99</v>
      </c>
      <c r="N33" s="87">
        <v>2.94052576112412</v>
      </c>
      <c r="O33" s="88">
        <v>25.11209</v>
      </c>
      <c r="P33" s="89">
        <v>0.210187688429172</v>
      </c>
      <c r="Q33" s="87">
        <v>4.27542037470726</v>
      </c>
      <c r="R33" s="88">
        <v>36.51209</v>
      </c>
      <c r="S33" s="90">
        <v>0.305605459235687</v>
      </c>
      <c r="T33" s="91" t="s">
        <v>61</v>
      </c>
      <c r="U33" s="92">
        <v>8.54</v>
      </c>
      <c r="V33" s="90">
        <v>0.2</v>
      </c>
      <c r="W33" s="90">
        <v>0.15</v>
      </c>
      <c r="X33" s="93">
        <v>25</v>
      </c>
      <c r="Y33" s="93">
        <v>15</v>
      </c>
      <c r="Z33" s="93">
        <v>0.5</v>
      </c>
      <c r="AA33" s="94">
        <v>0.03125</v>
      </c>
      <c r="AB33" s="93">
        <v>0.38</v>
      </c>
      <c r="AC33" s="95">
        <v>45</v>
      </c>
      <c r="AD33" s="95">
        <v>15</v>
      </c>
      <c r="AE33" s="86">
        <v>17</v>
      </c>
      <c r="AF33" s="96">
        <v>1.99063231850117</v>
      </c>
      <c r="AG33" s="97">
        <v>17.1</v>
      </c>
      <c r="AH33" s="87">
        <v>2.00234192037471</v>
      </c>
      <c r="AI33" s="87">
        <v>5.7</v>
      </c>
      <c r="AJ33" s="87">
        <v>0.667447306791569</v>
      </c>
      <c r="AK33" s="96">
        <v>2.0985</v>
      </c>
      <c r="AL33" s="93">
        <v>2.16</v>
      </c>
      <c r="AM33" s="87">
        <v>2.798</v>
      </c>
      <c r="AN33" s="87">
        <v>0</v>
      </c>
      <c r="AO33" s="87"/>
      <c r="AP33" s="88"/>
      <c r="AQ33" s="87">
        <v>0</v>
      </c>
      <c r="AR33" s="88" t="s">
        <v>231</v>
      </c>
      <c r="AS33" s="88" t="s">
        <v>232</v>
      </c>
      <c r="AT33" s="88">
        <v>8505119000</v>
      </c>
      <c r="AU33" s="88" t="s">
        <v>233</v>
      </c>
      <c r="AV33" s="88" t="s">
        <v>234</v>
      </c>
      <c r="AW33" s="88" t="s">
        <v>235</v>
      </c>
      <c r="AX33" s="52"/>
    </row>
    <row r="34" s="4" customFormat="1" ht="79" customHeight="1" spans="1:50">
      <c r="A34" s="40">
        <v>31</v>
      </c>
      <c r="B34" s="37">
        <v>46175</v>
      </c>
      <c r="C34" s="98" t="s">
        <v>236</v>
      </c>
      <c r="D34" s="85">
        <v>2551671</v>
      </c>
      <c r="E34" s="99" t="s">
        <v>73</v>
      </c>
      <c r="F34" s="78" t="s">
        <v>74</v>
      </c>
      <c r="G34" s="100"/>
      <c r="H34" s="101" t="s">
        <v>237</v>
      </c>
      <c r="I34" s="101"/>
      <c r="J34" s="102" t="s">
        <v>238</v>
      </c>
      <c r="K34" s="103" t="s">
        <v>239</v>
      </c>
      <c r="L34" s="103"/>
      <c r="M34" s="86">
        <v>6.99</v>
      </c>
      <c r="N34" s="87">
        <v>1.74937822014052</v>
      </c>
      <c r="O34" s="88">
        <v>14.93969</v>
      </c>
      <c r="P34" s="89">
        <v>0.250268701021533</v>
      </c>
      <c r="Q34" s="87">
        <v>2.03040866510539</v>
      </c>
      <c r="R34" s="88">
        <v>17.33969</v>
      </c>
      <c r="S34" s="90">
        <v>0.290473342647409</v>
      </c>
      <c r="T34" s="91" t="s">
        <v>61</v>
      </c>
      <c r="U34" s="92">
        <v>8.54</v>
      </c>
      <c r="V34" s="90">
        <v>0.2</v>
      </c>
      <c r="W34" s="90">
        <v>0.15</v>
      </c>
      <c r="X34" s="93">
        <v>20</v>
      </c>
      <c r="Y34" s="93">
        <v>20</v>
      </c>
      <c r="Z34" s="93">
        <v>0.5</v>
      </c>
      <c r="AA34" s="94">
        <v>0.0333333333333333</v>
      </c>
      <c r="AB34" s="93">
        <v>0.08</v>
      </c>
      <c r="AC34" s="95">
        <v>45</v>
      </c>
      <c r="AD34" s="95">
        <v>15</v>
      </c>
      <c r="AE34" s="86">
        <v>6</v>
      </c>
      <c r="AF34" s="96">
        <v>0.702576112412178</v>
      </c>
      <c r="AG34" s="97">
        <v>3.6</v>
      </c>
      <c r="AH34" s="87">
        <v>0.421545667447307</v>
      </c>
      <c r="AI34" s="87">
        <v>1.2</v>
      </c>
      <c r="AJ34" s="87">
        <v>0.140515222482436</v>
      </c>
      <c r="AK34" s="96">
        <v>1.0485</v>
      </c>
      <c r="AL34" s="93">
        <v>1.67</v>
      </c>
      <c r="AM34" s="87">
        <v>1.398</v>
      </c>
      <c r="AN34" s="87">
        <v>0</v>
      </c>
      <c r="AO34" s="87"/>
      <c r="AP34" s="88"/>
      <c r="AQ34" s="87">
        <v>0</v>
      </c>
      <c r="AR34" s="102" t="s">
        <v>240</v>
      </c>
      <c r="AS34" s="88" t="s">
        <v>63</v>
      </c>
      <c r="AT34" s="95">
        <v>3926100000</v>
      </c>
      <c r="AU34" s="95" t="s">
        <v>162</v>
      </c>
      <c r="AV34" s="95" t="s">
        <v>241</v>
      </c>
      <c r="AW34" s="95" t="s">
        <v>242</v>
      </c>
      <c r="AX34" s="52"/>
    </row>
    <row r="35" s="4" customFormat="1" ht="79" customHeight="1" spans="1:50">
      <c r="A35" s="40">
        <v>32</v>
      </c>
      <c r="B35" s="37">
        <v>46175</v>
      </c>
      <c r="C35" s="59" t="s">
        <v>243</v>
      </c>
      <c r="D35" s="39">
        <v>2551672</v>
      </c>
      <c r="E35" s="40" t="s">
        <v>73</v>
      </c>
      <c r="F35" s="78" t="s">
        <v>69</v>
      </c>
      <c r="G35" s="56"/>
      <c r="H35" s="57"/>
      <c r="I35" s="79"/>
      <c r="J35" s="51" t="s">
        <v>244</v>
      </c>
      <c r="K35" s="51" t="s">
        <v>245</v>
      </c>
      <c r="L35" s="51" t="s">
        <v>246</v>
      </c>
      <c r="M35" s="69">
        <v>6.99</v>
      </c>
      <c r="N35" s="45">
        <v>1.75</v>
      </c>
      <c r="O35" s="46">
        <v>15</v>
      </c>
      <c r="P35" s="70">
        <v>0.25</v>
      </c>
      <c r="Q35" s="45">
        <v>2.03</v>
      </c>
      <c r="R35" s="46">
        <v>17</v>
      </c>
      <c r="S35" s="71">
        <v>0.29</v>
      </c>
      <c r="T35" s="72" t="s">
        <v>61</v>
      </c>
      <c r="U35" s="72">
        <v>8.54</v>
      </c>
      <c r="V35" s="50">
        <v>0.2</v>
      </c>
      <c r="W35" s="50">
        <v>0.15</v>
      </c>
      <c r="X35" s="44">
        <v>20</v>
      </c>
      <c r="Y35" s="44">
        <v>20</v>
      </c>
      <c r="Z35" s="44">
        <v>0.5</v>
      </c>
      <c r="AA35" s="73">
        <v>0.03</v>
      </c>
      <c r="AB35" s="44">
        <v>0.08</v>
      </c>
      <c r="AC35" s="49">
        <v>45</v>
      </c>
      <c r="AD35" s="49">
        <v>15</v>
      </c>
      <c r="AE35" s="74">
        <v>6</v>
      </c>
      <c r="AF35" s="48">
        <v>0.7</v>
      </c>
      <c r="AG35" s="75">
        <v>3.6</v>
      </c>
      <c r="AH35" s="45">
        <v>0.42</v>
      </c>
      <c r="AI35" s="45">
        <v>1.2</v>
      </c>
      <c r="AJ35" s="45">
        <v>0.14</v>
      </c>
      <c r="AK35" s="48">
        <v>1</v>
      </c>
      <c r="AL35" s="44">
        <v>1.67</v>
      </c>
      <c r="AM35" s="45">
        <v>1.4</v>
      </c>
      <c r="AN35" s="76">
        <v>0</v>
      </c>
      <c r="AO35" s="45"/>
      <c r="AP35" s="46"/>
      <c r="AQ35" s="45">
        <v>0</v>
      </c>
      <c r="AR35" s="51" t="s">
        <v>240</v>
      </c>
      <c r="AS35" s="52" t="s">
        <v>63</v>
      </c>
      <c r="AT35" s="77">
        <v>3926100000</v>
      </c>
      <c r="AU35" s="52" t="s">
        <v>162</v>
      </c>
      <c r="AV35" s="52" t="s">
        <v>241</v>
      </c>
      <c r="AW35" s="52" t="s">
        <v>242</v>
      </c>
      <c r="AX35" s="52"/>
    </row>
    <row r="36" s="4" customFormat="1" ht="79" customHeight="1" spans="1:50">
      <c r="A36" s="40">
        <v>33</v>
      </c>
      <c r="B36" s="37">
        <v>46175</v>
      </c>
      <c r="C36" s="38" t="s">
        <v>247</v>
      </c>
      <c r="D36" s="39">
        <v>2630742</v>
      </c>
      <c r="E36" s="40" t="s">
        <v>248</v>
      </c>
      <c r="F36" s="55"/>
      <c r="G36" s="56"/>
      <c r="H36" s="57" t="s">
        <v>249</v>
      </c>
      <c r="I36" s="79" t="s">
        <v>250</v>
      </c>
      <c r="J36" s="51" t="s">
        <v>251</v>
      </c>
      <c r="K36" s="51" t="s">
        <v>252</v>
      </c>
      <c r="L36" s="51" t="s">
        <v>253</v>
      </c>
      <c r="M36" s="69">
        <v>9.99</v>
      </c>
      <c r="N36" s="45">
        <f t="shared" ref="N36:N98" si="0">M36-SUM(AF36+AH36+AK36+AL36+AM36+AN36+AQ36)</f>
        <v>1.93503395784543</v>
      </c>
      <c r="O36" s="46">
        <f t="shared" ref="O36:O98" si="1">N36*U36</f>
        <v>16.52519</v>
      </c>
      <c r="P36" s="70">
        <f t="shared" ref="P36:P98" si="2">N36/M36</f>
        <v>0.193697092877421</v>
      </c>
      <c r="Q36" s="45">
        <f t="shared" ref="Q36:Q98" si="3">M36-SUM(AF36+AJ36+AK36+AL36+AM36+AN36+AO36+AP36+AQ36)</f>
        <v>2.33023302107728</v>
      </c>
      <c r="R36" s="46">
        <f t="shared" ref="R36:R98" si="4">Q36*U36</f>
        <v>19.90019</v>
      </c>
      <c r="S36" s="71">
        <f t="shared" ref="S36:S98" si="5">Q36/M36</f>
        <v>0.233256558666395</v>
      </c>
      <c r="T36" s="72" t="s">
        <v>61</v>
      </c>
      <c r="U36" s="72">
        <v>8.54</v>
      </c>
      <c r="V36" s="50">
        <v>0.2</v>
      </c>
      <c r="W36" s="50">
        <v>0.15</v>
      </c>
      <c r="X36" s="44">
        <v>15</v>
      </c>
      <c r="Y36" s="44">
        <v>15</v>
      </c>
      <c r="Z36" s="44">
        <v>3</v>
      </c>
      <c r="AA36" s="73">
        <f t="shared" ref="AA36:AA83" si="6">(X36*Y36*Z36)/6000</f>
        <v>0.1125</v>
      </c>
      <c r="AB36" s="44">
        <v>0.1</v>
      </c>
      <c r="AC36" s="49">
        <v>45</v>
      </c>
      <c r="AD36" s="49">
        <v>15</v>
      </c>
      <c r="AE36" s="74">
        <v>13.2</v>
      </c>
      <c r="AF36" s="48">
        <f t="shared" ref="AF36:AF98" si="7">AE36/U36</f>
        <v>1.54566744730679</v>
      </c>
      <c r="AG36" s="75">
        <f t="shared" ref="AG36:AG98" si="8">AC36*MAX(AA36:AB36)</f>
        <v>5.0625</v>
      </c>
      <c r="AH36" s="45">
        <f t="shared" ref="AH36:AH98" si="9">AG36/U36</f>
        <v>0.592798594847775</v>
      </c>
      <c r="AI36" s="45">
        <f t="shared" ref="AI36:AI98" si="10">AD36*MAX(AA36:AB36)</f>
        <v>1.6875</v>
      </c>
      <c r="AJ36" s="45">
        <f t="shared" ref="AJ36:AJ98" si="11">AI36/U36</f>
        <v>0.197599531615925</v>
      </c>
      <c r="AK36" s="48">
        <f t="shared" ref="AK36:AK98" si="12">M36*W36</f>
        <v>1.4985</v>
      </c>
      <c r="AL36" s="44">
        <v>2.42</v>
      </c>
      <c r="AM36" s="45">
        <f t="shared" ref="AM36:AM98" si="13">M36*V36</f>
        <v>1.998</v>
      </c>
      <c r="AN36" s="76">
        <v>0</v>
      </c>
      <c r="AO36" s="45"/>
      <c r="AP36" s="46"/>
      <c r="AQ36" s="45">
        <v>0</v>
      </c>
      <c r="AR36" s="51" t="s">
        <v>254</v>
      </c>
      <c r="AS36" s="52" t="s">
        <v>255</v>
      </c>
      <c r="AT36" s="77">
        <v>4202929110</v>
      </c>
      <c r="AU36" s="52" t="s">
        <v>256</v>
      </c>
      <c r="AV36" s="52" t="s">
        <v>257</v>
      </c>
      <c r="AW36" s="52" t="s">
        <v>258</v>
      </c>
      <c r="AX36" s="52"/>
    </row>
    <row r="37" s="4" customFormat="1" ht="79" customHeight="1" spans="1:50">
      <c r="A37" s="40">
        <v>34</v>
      </c>
      <c r="B37" s="37">
        <v>46175</v>
      </c>
      <c r="C37" s="38" t="s">
        <v>259</v>
      </c>
      <c r="D37" s="39">
        <v>2630743</v>
      </c>
      <c r="E37" s="40" t="s">
        <v>248</v>
      </c>
      <c r="F37" s="78" t="s">
        <v>69</v>
      </c>
      <c r="G37" s="56"/>
      <c r="H37" s="57" t="s">
        <v>260</v>
      </c>
      <c r="I37" s="79"/>
      <c r="J37" s="51" t="s">
        <v>261</v>
      </c>
      <c r="K37" s="51"/>
      <c r="L37" s="51" t="s">
        <v>262</v>
      </c>
      <c r="M37" s="69">
        <v>6.99</v>
      </c>
      <c r="N37" s="45">
        <f t="shared" si="0"/>
        <v>1.89204800936768</v>
      </c>
      <c r="O37" s="46">
        <f t="shared" si="1"/>
        <v>16.15809</v>
      </c>
      <c r="P37" s="70">
        <f t="shared" si="2"/>
        <v>0.270679257420269</v>
      </c>
      <c r="Q37" s="45">
        <f t="shared" si="3"/>
        <v>2.03841803278689</v>
      </c>
      <c r="R37" s="46">
        <f t="shared" si="4"/>
        <v>17.40809</v>
      </c>
      <c r="S37" s="71">
        <f t="shared" si="5"/>
        <v>0.291619174933746</v>
      </c>
      <c r="T37" s="72" t="s">
        <v>61</v>
      </c>
      <c r="U37" s="72">
        <v>8.54</v>
      </c>
      <c r="V37" s="50">
        <v>0.2</v>
      </c>
      <c r="W37" s="50">
        <v>0.15</v>
      </c>
      <c r="X37" s="44">
        <v>10</v>
      </c>
      <c r="Y37" s="44">
        <v>10</v>
      </c>
      <c r="Z37" s="44">
        <v>2.5</v>
      </c>
      <c r="AA37" s="73">
        <f t="shared" si="6"/>
        <v>0.0416666666666667</v>
      </c>
      <c r="AB37" s="44">
        <v>0.02</v>
      </c>
      <c r="AC37" s="49">
        <v>45</v>
      </c>
      <c r="AD37" s="49">
        <v>15</v>
      </c>
      <c r="AE37" s="74">
        <v>8.3</v>
      </c>
      <c r="AF37" s="48">
        <f t="shared" si="7"/>
        <v>0.971896955503513</v>
      </c>
      <c r="AG37" s="75">
        <f t="shared" si="8"/>
        <v>1.875</v>
      </c>
      <c r="AH37" s="45">
        <f t="shared" si="9"/>
        <v>0.219555035128806</v>
      </c>
      <c r="AI37" s="45">
        <f t="shared" si="10"/>
        <v>0.625</v>
      </c>
      <c r="AJ37" s="45">
        <f t="shared" si="11"/>
        <v>0.0731850117096019</v>
      </c>
      <c r="AK37" s="48">
        <f t="shared" si="12"/>
        <v>1.0485</v>
      </c>
      <c r="AL37" s="44">
        <v>1.46</v>
      </c>
      <c r="AM37" s="45">
        <f t="shared" si="13"/>
        <v>1.398</v>
      </c>
      <c r="AN37" s="76">
        <v>0</v>
      </c>
      <c r="AO37" s="45"/>
      <c r="AP37" s="46"/>
      <c r="AQ37" s="45">
        <v>0</v>
      </c>
      <c r="AR37" s="51" t="s">
        <v>263</v>
      </c>
      <c r="AS37" s="52" t="s">
        <v>81</v>
      </c>
      <c r="AT37" s="77">
        <v>7117190090</v>
      </c>
      <c r="AU37" s="52" t="s">
        <v>82</v>
      </c>
      <c r="AV37" s="52" t="s">
        <v>83</v>
      </c>
      <c r="AW37" s="52" t="s">
        <v>84</v>
      </c>
      <c r="AX37" s="52"/>
    </row>
    <row r="38" s="4" customFormat="1" ht="79" customHeight="1" spans="1:50">
      <c r="A38" s="40">
        <v>35</v>
      </c>
      <c r="B38" s="37">
        <v>46175</v>
      </c>
      <c r="C38" s="38" t="s">
        <v>264</v>
      </c>
      <c r="D38" s="39">
        <v>2630744</v>
      </c>
      <c r="E38" s="40" t="s">
        <v>248</v>
      </c>
      <c r="F38" s="55" t="s">
        <v>69</v>
      </c>
      <c r="G38" s="56"/>
      <c r="H38" s="79" t="s">
        <v>265</v>
      </c>
      <c r="I38" s="79"/>
      <c r="J38" s="51"/>
      <c r="K38" s="51" t="s">
        <v>266</v>
      </c>
      <c r="L38" s="51"/>
      <c r="M38" s="69">
        <v>6.99</v>
      </c>
      <c r="N38" s="45">
        <f t="shared" si="0"/>
        <v>2.24724707259953</v>
      </c>
      <c r="O38" s="46">
        <f t="shared" si="1"/>
        <v>19.19149</v>
      </c>
      <c r="P38" s="70">
        <f t="shared" si="2"/>
        <v>0.321494574048574</v>
      </c>
      <c r="Q38" s="45">
        <f t="shared" si="3"/>
        <v>2.38776229508197</v>
      </c>
      <c r="R38" s="46">
        <f t="shared" si="4"/>
        <v>20.39149</v>
      </c>
      <c r="S38" s="71">
        <f t="shared" si="5"/>
        <v>0.341596894861512</v>
      </c>
      <c r="T38" s="72" t="s">
        <v>61</v>
      </c>
      <c r="U38" s="72">
        <v>8.54</v>
      </c>
      <c r="V38" s="50">
        <v>0.2</v>
      </c>
      <c r="W38" s="50">
        <v>0.15</v>
      </c>
      <c r="X38" s="44">
        <v>6</v>
      </c>
      <c r="Y38" s="44">
        <v>8</v>
      </c>
      <c r="Z38" s="44">
        <v>2</v>
      </c>
      <c r="AA38" s="73">
        <f t="shared" si="6"/>
        <v>0.016</v>
      </c>
      <c r="AB38" s="44">
        <v>0.04</v>
      </c>
      <c r="AC38" s="49">
        <v>45</v>
      </c>
      <c r="AD38" s="49">
        <v>15</v>
      </c>
      <c r="AE38" s="74">
        <v>5</v>
      </c>
      <c r="AF38" s="48">
        <f t="shared" si="7"/>
        <v>0.585480093676815</v>
      </c>
      <c r="AG38" s="75">
        <f t="shared" si="8"/>
        <v>1.8</v>
      </c>
      <c r="AH38" s="45">
        <f t="shared" si="9"/>
        <v>0.210772833723653</v>
      </c>
      <c r="AI38" s="45">
        <f t="shared" si="10"/>
        <v>0.6</v>
      </c>
      <c r="AJ38" s="45">
        <f t="shared" si="11"/>
        <v>0.0702576112412178</v>
      </c>
      <c r="AK38" s="48">
        <f t="shared" si="12"/>
        <v>1.0485</v>
      </c>
      <c r="AL38" s="44">
        <v>1.5</v>
      </c>
      <c r="AM38" s="45">
        <f t="shared" si="13"/>
        <v>1.398</v>
      </c>
      <c r="AN38" s="76">
        <v>0</v>
      </c>
      <c r="AO38" s="45"/>
      <c r="AP38" s="46"/>
      <c r="AQ38" s="45">
        <v>0</v>
      </c>
      <c r="AR38" s="51" t="s">
        <v>267</v>
      </c>
      <c r="AS38" s="52" t="s">
        <v>268</v>
      </c>
      <c r="AT38" s="77">
        <v>7117190090</v>
      </c>
      <c r="AU38" s="52" t="s">
        <v>82</v>
      </c>
      <c r="AV38" s="52" t="s">
        <v>83</v>
      </c>
      <c r="AW38" s="52" t="s">
        <v>84</v>
      </c>
      <c r="AX38" s="52"/>
    </row>
    <row r="39" s="4" customFormat="1" ht="79" customHeight="1" spans="1:50">
      <c r="A39" s="40">
        <v>36</v>
      </c>
      <c r="B39" s="37">
        <v>46175</v>
      </c>
      <c r="C39" s="38" t="s">
        <v>269</v>
      </c>
      <c r="D39" s="39">
        <v>2630745</v>
      </c>
      <c r="E39" s="40" t="s">
        <v>248</v>
      </c>
      <c r="F39" s="55"/>
      <c r="G39" s="56"/>
      <c r="H39" s="57" t="s">
        <v>270</v>
      </c>
      <c r="I39" s="79" t="s">
        <v>250</v>
      </c>
      <c r="J39" s="51" t="s">
        <v>271</v>
      </c>
      <c r="K39" s="51" t="s">
        <v>272</v>
      </c>
      <c r="L39" s="51" t="s">
        <v>273</v>
      </c>
      <c r="M39" s="69">
        <v>8.99</v>
      </c>
      <c r="N39" s="45">
        <f t="shared" si="0"/>
        <v>1.63544379391101</v>
      </c>
      <c r="O39" s="46">
        <f t="shared" si="1"/>
        <v>13.96669</v>
      </c>
      <c r="P39" s="70">
        <f t="shared" si="2"/>
        <v>0.181918108332704</v>
      </c>
      <c r="Q39" s="45">
        <f t="shared" si="3"/>
        <v>1.91647423887588</v>
      </c>
      <c r="R39" s="46">
        <f t="shared" si="4"/>
        <v>16.36669</v>
      </c>
      <c r="S39" s="71">
        <f t="shared" si="5"/>
        <v>0.213178447038474</v>
      </c>
      <c r="T39" s="72" t="s">
        <v>61</v>
      </c>
      <c r="U39" s="72">
        <v>8.54</v>
      </c>
      <c r="V39" s="50">
        <v>0.2</v>
      </c>
      <c r="W39" s="50">
        <v>0.15</v>
      </c>
      <c r="X39" s="44">
        <v>15</v>
      </c>
      <c r="Y39" s="44">
        <v>10</v>
      </c>
      <c r="Z39" s="44">
        <v>3</v>
      </c>
      <c r="AA39" s="73">
        <f t="shared" si="6"/>
        <v>0.075</v>
      </c>
      <c r="AB39" s="44">
        <v>0.08</v>
      </c>
      <c r="AC39" s="49">
        <v>45</v>
      </c>
      <c r="AD39" s="49">
        <v>15</v>
      </c>
      <c r="AE39" s="74">
        <v>11.67</v>
      </c>
      <c r="AF39" s="48">
        <f t="shared" si="7"/>
        <v>1.36651053864169</v>
      </c>
      <c r="AG39" s="75">
        <f t="shared" si="8"/>
        <v>3.6</v>
      </c>
      <c r="AH39" s="45">
        <f t="shared" si="9"/>
        <v>0.421545667447307</v>
      </c>
      <c r="AI39" s="45">
        <f t="shared" si="10"/>
        <v>1.2</v>
      </c>
      <c r="AJ39" s="45">
        <f t="shared" si="11"/>
        <v>0.140515222482436</v>
      </c>
      <c r="AK39" s="48">
        <f t="shared" si="12"/>
        <v>1.3485</v>
      </c>
      <c r="AL39" s="44">
        <v>2.42</v>
      </c>
      <c r="AM39" s="45">
        <f t="shared" si="13"/>
        <v>1.798</v>
      </c>
      <c r="AN39" s="76">
        <v>0</v>
      </c>
      <c r="AO39" s="45"/>
      <c r="AP39" s="46"/>
      <c r="AQ39" s="45">
        <v>0</v>
      </c>
      <c r="AR39" s="51" t="s">
        <v>274</v>
      </c>
      <c r="AS39" s="52" t="s">
        <v>275</v>
      </c>
      <c r="AT39" s="77">
        <v>3926909790</v>
      </c>
      <c r="AU39" s="52" t="s">
        <v>112</v>
      </c>
      <c r="AV39" s="52" t="s">
        <v>276</v>
      </c>
      <c r="AW39" s="52" t="s">
        <v>277</v>
      </c>
      <c r="AX39" s="52"/>
    </row>
    <row r="40" s="4" customFormat="1" ht="79" customHeight="1" spans="1:50">
      <c r="A40" s="40">
        <v>37</v>
      </c>
      <c r="B40" s="37">
        <v>46175</v>
      </c>
      <c r="C40" s="38" t="s">
        <v>278</v>
      </c>
      <c r="D40" s="39">
        <v>2630746</v>
      </c>
      <c r="E40" s="40" t="s">
        <v>248</v>
      </c>
      <c r="F40" s="104" t="s">
        <v>279</v>
      </c>
      <c r="G40" s="56"/>
      <c r="H40" s="57" t="s">
        <v>280</v>
      </c>
      <c r="I40" s="79" t="s">
        <v>250</v>
      </c>
      <c r="J40" s="51" t="s">
        <v>271</v>
      </c>
      <c r="K40" s="51" t="s">
        <v>272</v>
      </c>
      <c r="L40" s="51" t="s">
        <v>273</v>
      </c>
      <c r="M40" s="69">
        <v>8.99</v>
      </c>
      <c r="N40" s="45">
        <f t="shared" si="0"/>
        <v>1.86963583138173</v>
      </c>
      <c r="O40" s="46">
        <f t="shared" si="1"/>
        <v>15.96669</v>
      </c>
      <c r="P40" s="70">
        <f t="shared" si="2"/>
        <v>0.207968390587512</v>
      </c>
      <c r="Q40" s="45">
        <f t="shared" si="3"/>
        <v>2.1506662763466</v>
      </c>
      <c r="R40" s="46">
        <f t="shared" si="4"/>
        <v>18.36669</v>
      </c>
      <c r="S40" s="71">
        <f t="shared" si="5"/>
        <v>0.239228729293282</v>
      </c>
      <c r="T40" s="72" t="s">
        <v>61</v>
      </c>
      <c r="U40" s="72">
        <v>8.54</v>
      </c>
      <c r="V40" s="50">
        <v>0.2</v>
      </c>
      <c r="W40" s="50">
        <v>0.15</v>
      </c>
      <c r="X40" s="44">
        <v>15</v>
      </c>
      <c r="Y40" s="44">
        <v>10</v>
      </c>
      <c r="Z40" s="44">
        <v>3</v>
      </c>
      <c r="AA40" s="73">
        <f t="shared" si="6"/>
        <v>0.075</v>
      </c>
      <c r="AB40" s="44">
        <v>0.08</v>
      </c>
      <c r="AC40" s="49">
        <v>45</v>
      </c>
      <c r="AD40" s="49">
        <v>15</v>
      </c>
      <c r="AE40" s="74">
        <v>9.67</v>
      </c>
      <c r="AF40" s="48">
        <f t="shared" si="7"/>
        <v>1.13231850117096</v>
      </c>
      <c r="AG40" s="75">
        <f t="shared" si="8"/>
        <v>3.6</v>
      </c>
      <c r="AH40" s="45">
        <f t="shared" si="9"/>
        <v>0.421545667447307</v>
      </c>
      <c r="AI40" s="45">
        <f t="shared" si="10"/>
        <v>1.2</v>
      </c>
      <c r="AJ40" s="45">
        <f t="shared" si="11"/>
        <v>0.140515222482436</v>
      </c>
      <c r="AK40" s="48">
        <f t="shared" si="12"/>
        <v>1.3485</v>
      </c>
      <c r="AL40" s="44">
        <v>2.42</v>
      </c>
      <c r="AM40" s="45">
        <f t="shared" si="13"/>
        <v>1.798</v>
      </c>
      <c r="AN40" s="76">
        <v>0</v>
      </c>
      <c r="AO40" s="45"/>
      <c r="AP40" s="46"/>
      <c r="AQ40" s="45">
        <v>0</v>
      </c>
      <c r="AR40" s="51" t="s">
        <v>281</v>
      </c>
      <c r="AS40" s="52" t="s">
        <v>275</v>
      </c>
      <c r="AT40" s="77">
        <v>3926909790</v>
      </c>
      <c r="AU40" s="52" t="s">
        <v>112</v>
      </c>
      <c r="AV40" s="52" t="s">
        <v>276</v>
      </c>
      <c r="AW40" s="52" t="s">
        <v>277</v>
      </c>
      <c r="AX40" s="52"/>
    </row>
    <row r="41" s="4" customFormat="1" ht="79" customHeight="1" spans="1:50">
      <c r="A41" s="40">
        <v>38</v>
      </c>
      <c r="B41" s="37">
        <v>46175</v>
      </c>
      <c r="C41" s="38" t="s">
        <v>282</v>
      </c>
      <c r="D41" s="39">
        <v>2630747</v>
      </c>
      <c r="E41" s="40" t="s">
        <v>248</v>
      </c>
      <c r="F41" s="78" t="s">
        <v>74</v>
      </c>
      <c r="G41" s="56"/>
      <c r="H41" s="57" t="s">
        <v>283</v>
      </c>
      <c r="I41" s="79"/>
      <c r="J41" s="51" t="s">
        <v>284</v>
      </c>
      <c r="K41" s="51" t="s">
        <v>285</v>
      </c>
      <c r="L41" s="51" t="s">
        <v>286</v>
      </c>
      <c r="M41" s="69">
        <v>14.99</v>
      </c>
      <c r="N41" s="45">
        <f t="shared" si="0"/>
        <v>2.89058430913349</v>
      </c>
      <c r="O41" s="46">
        <f t="shared" si="1"/>
        <v>24.68559</v>
      </c>
      <c r="P41" s="70">
        <f t="shared" si="2"/>
        <v>0.192834176726717</v>
      </c>
      <c r="Q41" s="45">
        <f t="shared" si="3"/>
        <v>4.51997540983607</v>
      </c>
      <c r="R41" s="46">
        <f t="shared" si="4"/>
        <v>38.60059</v>
      </c>
      <c r="S41" s="71">
        <f t="shared" si="5"/>
        <v>0.301532715799604</v>
      </c>
      <c r="T41" s="72" t="s">
        <v>61</v>
      </c>
      <c r="U41" s="72">
        <v>8.54</v>
      </c>
      <c r="V41" s="50">
        <v>0.2</v>
      </c>
      <c r="W41" s="50">
        <v>0.15</v>
      </c>
      <c r="X41" s="44">
        <v>23</v>
      </c>
      <c r="Y41" s="44">
        <v>11</v>
      </c>
      <c r="Z41" s="44">
        <v>11</v>
      </c>
      <c r="AA41" s="73">
        <f t="shared" si="6"/>
        <v>0.463833333333333</v>
      </c>
      <c r="AB41" s="44">
        <v>0.11</v>
      </c>
      <c r="AC41" s="49">
        <v>45</v>
      </c>
      <c r="AD41" s="49">
        <v>15</v>
      </c>
      <c r="AE41" s="74">
        <v>12.8</v>
      </c>
      <c r="AF41" s="48">
        <f t="shared" si="7"/>
        <v>1.49882903981265</v>
      </c>
      <c r="AG41" s="75">
        <f t="shared" si="8"/>
        <v>20.8725</v>
      </c>
      <c r="AH41" s="45">
        <f t="shared" si="9"/>
        <v>2.44408665105386</v>
      </c>
      <c r="AI41" s="45">
        <f t="shared" si="10"/>
        <v>6.9575</v>
      </c>
      <c r="AJ41" s="45">
        <f t="shared" si="11"/>
        <v>0.814695550351288</v>
      </c>
      <c r="AK41" s="48">
        <f t="shared" si="12"/>
        <v>2.2485</v>
      </c>
      <c r="AL41" s="44">
        <v>2.91</v>
      </c>
      <c r="AM41" s="45">
        <f t="shared" si="13"/>
        <v>2.998</v>
      </c>
      <c r="AN41" s="76">
        <v>0</v>
      </c>
      <c r="AO41" s="45"/>
      <c r="AP41" s="46"/>
      <c r="AQ41" s="45">
        <v>0</v>
      </c>
      <c r="AR41" s="51" t="s">
        <v>287</v>
      </c>
      <c r="AS41" s="52" t="s">
        <v>182</v>
      </c>
      <c r="AT41" s="77">
        <v>6307909899</v>
      </c>
      <c r="AU41" s="52" t="s">
        <v>256</v>
      </c>
      <c r="AV41" s="52" t="s">
        <v>225</v>
      </c>
      <c r="AW41" s="52" t="s">
        <v>226</v>
      </c>
      <c r="AX41" s="52"/>
    </row>
    <row r="42" s="4" customFormat="1" ht="79" customHeight="1" spans="1:50">
      <c r="A42" s="40">
        <v>39</v>
      </c>
      <c r="B42" s="37">
        <v>46175</v>
      </c>
      <c r="C42" s="38" t="s">
        <v>288</v>
      </c>
      <c r="D42" s="39">
        <v>2630748</v>
      </c>
      <c r="E42" s="40" t="s">
        <v>248</v>
      </c>
      <c r="F42" s="78" t="s">
        <v>289</v>
      </c>
      <c r="G42" s="56"/>
      <c r="H42" s="57" t="s">
        <v>137</v>
      </c>
      <c r="I42" s="79"/>
      <c r="J42" s="51" t="s">
        <v>290</v>
      </c>
      <c r="K42" s="51" t="s">
        <v>291</v>
      </c>
      <c r="L42" s="51" t="s">
        <v>292</v>
      </c>
      <c r="M42" s="69">
        <v>7.99</v>
      </c>
      <c r="N42" s="45">
        <f t="shared" si="0"/>
        <v>1.91783255269321</v>
      </c>
      <c r="O42" s="46">
        <f t="shared" si="1"/>
        <v>16.37829</v>
      </c>
      <c r="P42" s="70">
        <f t="shared" si="2"/>
        <v>0.240029105468487</v>
      </c>
      <c r="Q42" s="45">
        <f t="shared" si="3"/>
        <v>2.47989344262295</v>
      </c>
      <c r="R42" s="46">
        <f t="shared" si="4"/>
        <v>21.17829</v>
      </c>
      <c r="S42" s="71">
        <f t="shared" si="5"/>
        <v>0.310374648638667</v>
      </c>
      <c r="T42" s="72" t="s">
        <v>61</v>
      </c>
      <c r="U42" s="72">
        <v>8.54</v>
      </c>
      <c r="V42" s="50">
        <v>0.2</v>
      </c>
      <c r="W42" s="50">
        <v>0.15</v>
      </c>
      <c r="X42" s="44">
        <v>16.5</v>
      </c>
      <c r="Y42" s="44">
        <v>16.5</v>
      </c>
      <c r="Z42" s="44">
        <v>2</v>
      </c>
      <c r="AA42" s="73">
        <f t="shared" si="6"/>
        <v>0.09075</v>
      </c>
      <c r="AB42" s="44">
        <v>0.16</v>
      </c>
      <c r="AC42" s="49">
        <v>45</v>
      </c>
      <c r="AD42" s="49">
        <v>15</v>
      </c>
      <c r="AE42" s="74">
        <v>6</v>
      </c>
      <c r="AF42" s="48">
        <f t="shared" si="7"/>
        <v>0.702576112412178</v>
      </c>
      <c r="AG42" s="75">
        <f t="shared" si="8"/>
        <v>7.2</v>
      </c>
      <c r="AH42" s="45">
        <f t="shared" si="9"/>
        <v>0.843091334894614</v>
      </c>
      <c r="AI42" s="45">
        <f t="shared" si="10"/>
        <v>2.4</v>
      </c>
      <c r="AJ42" s="45">
        <f t="shared" si="11"/>
        <v>0.281030444964871</v>
      </c>
      <c r="AK42" s="48">
        <f t="shared" si="12"/>
        <v>1.1985</v>
      </c>
      <c r="AL42" s="44">
        <v>1.73</v>
      </c>
      <c r="AM42" s="45">
        <f t="shared" si="13"/>
        <v>1.598</v>
      </c>
      <c r="AN42" s="76">
        <v>0</v>
      </c>
      <c r="AO42" s="45"/>
      <c r="AP42" s="46"/>
      <c r="AQ42" s="45">
        <v>0</v>
      </c>
      <c r="AR42" s="51" t="s">
        <v>293</v>
      </c>
      <c r="AS42" s="52" t="s">
        <v>294</v>
      </c>
      <c r="AT42" s="77">
        <v>9505900000</v>
      </c>
      <c r="AU42" s="52" t="s">
        <v>90</v>
      </c>
      <c r="AV42" s="52" t="s">
        <v>90</v>
      </c>
      <c r="AW42" s="52" t="s">
        <v>295</v>
      </c>
      <c r="AX42" s="52"/>
    </row>
    <row r="43" s="4" customFormat="1" ht="79" customHeight="1" spans="1:50">
      <c r="A43" s="40">
        <v>40</v>
      </c>
      <c r="B43" s="37">
        <v>46175</v>
      </c>
      <c r="C43" s="38" t="s">
        <v>296</v>
      </c>
      <c r="D43" s="39">
        <v>2630749</v>
      </c>
      <c r="E43" s="40" t="s">
        <v>248</v>
      </c>
      <c r="F43" s="55" t="s">
        <v>74</v>
      </c>
      <c r="G43" s="56"/>
      <c r="H43" s="57" t="s">
        <v>297</v>
      </c>
      <c r="I43" s="79" t="s">
        <v>129</v>
      </c>
      <c r="J43" s="51" t="s">
        <v>298</v>
      </c>
      <c r="K43" s="51"/>
      <c r="L43" s="51"/>
      <c r="M43" s="69">
        <v>9.99</v>
      </c>
      <c r="N43" s="45">
        <f t="shared" si="0"/>
        <v>1.90050234192037</v>
      </c>
      <c r="O43" s="46">
        <f t="shared" si="1"/>
        <v>16.23029</v>
      </c>
      <c r="P43" s="70">
        <f t="shared" si="2"/>
        <v>0.190240474666704</v>
      </c>
      <c r="Q43" s="45">
        <f t="shared" si="3"/>
        <v>2.63820725995316</v>
      </c>
      <c r="R43" s="46">
        <f t="shared" si="4"/>
        <v>22.53029</v>
      </c>
      <c r="S43" s="71">
        <f t="shared" si="5"/>
        <v>0.264084810806122</v>
      </c>
      <c r="T43" s="72" t="s">
        <v>61</v>
      </c>
      <c r="U43" s="72">
        <v>8.54</v>
      </c>
      <c r="V43" s="50">
        <v>0.2</v>
      </c>
      <c r="W43" s="50">
        <v>0.15</v>
      </c>
      <c r="X43" s="44">
        <v>30</v>
      </c>
      <c r="Y43" s="44">
        <v>14</v>
      </c>
      <c r="Z43" s="44">
        <v>1</v>
      </c>
      <c r="AA43" s="73">
        <f t="shared" si="6"/>
        <v>0.07</v>
      </c>
      <c r="AB43" s="44">
        <v>0.21</v>
      </c>
      <c r="AC43" s="49">
        <v>45</v>
      </c>
      <c r="AD43" s="49">
        <v>15</v>
      </c>
      <c r="AE43" s="74">
        <v>15</v>
      </c>
      <c r="AF43" s="48">
        <f t="shared" si="7"/>
        <v>1.75644028103045</v>
      </c>
      <c r="AG43" s="75">
        <f t="shared" si="8"/>
        <v>9.45</v>
      </c>
      <c r="AH43" s="45">
        <f t="shared" si="9"/>
        <v>1.10655737704918</v>
      </c>
      <c r="AI43" s="45">
        <f t="shared" si="10"/>
        <v>3.15</v>
      </c>
      <c r="AJ43" s="45">
        <f t="shared" si="11"/>
        <v>0.368852459016393</v>
      </c>
      <c r="AK43" s="48">
        <f t="shared" si="12"/>
        <v>1.4985</v>
      </c>
      <c r="AL43" s="44">
        <v>1.73</v>
      </c>
      <c r="AM43" s="45">
        <f t="shared" si="13"/>
        <v>1.998</v>
      </c>
      <c r="AN43" s="76">
        <v>0</v>
      </c>
      <c r="AO43" s="45"/>
      <c r="AP43" s="46"/>
      <c r="AQ43" s="45">
        <v>0</v>
      </c>
      <c r="AR43" s="51" t="s">
        <v>299</v>
      </c>
      <c r="AS43" s="52" t="s">
        <v>300</v>
      </c>
      <c r="AT43" s="77">
        <v>4202229090</v>
      </c>
      <c r="AU43" s="52" t="s">
        <v>301</v>
      </c>
      <c r="AV43" s="52" t="s">
        <v>257</v>
      </c>
      <c r="AW43" s="52" t="s">
        <v>258</v>
      </c>
      <c r="AX43" s="52"/>
    </row>
    <row r="44" s="4" customFormat="1" ht="79" customHeight="1" spans="1:50">
      <c r="A44" s="40">
        <v>41</v>
      </c>
      <c r="B44" s="37">
        <v>46175</v>
      </c>
      <c r="C44" s="38" t="s">
        <v>302</v>
      </c>
      <c r="D44" s="39">
        <v>2630750</v>
      </c>
      <c r="E44" s="40" t="s">
        <v>248</v>
      </c>
      <c r="F44" s="55"/>
      <c r="G44" s="56"/>
      <c r="H44" s="57" t="s">
        <v>303</v>
      </c>
      <c r="I44" s="79"/>
      <c r="J44" s="51" t="s">
        <v>304</v>
      </c>
      <c r="K44" s="51" t="s">
        <v>305</v>
      </c>
      <c r="L44" s="51"/>
      <c r="M44" s="69">
        <v>8.99</v>
      </c>
      <c r="N44" s="45">
        <f t="shared" si="0"/>
        <v>1.96984660421546</v>
      </c>
      <c r="O44" s="46">
        <f t="shared" si="1"/>
        <v>16.82249</v>
      </c>
      <c r="P44" s="70">
        <f t="shared" si="2"/>
        <v>0.219115306364344</v>
      </c>
      <c r="Q44" s="45">
        <f t="shared" si="3"/>
        <v>2.35626346604215</v>
      </c>
      <c r="R44" s="46">
        <f t="shared" si="4"/>
        <v>20.12249</v>
      </c>
      <c r="S44" s="71">
        <f t="shared" si="5"/>
        <v>0.262098272084778</v>
      </c>
      <c r="T44" s="72" t="s">
        <v>61</v>
      </c>
      <c r="U44" s="72">
        <v>8.54</v>
      </c>
      <c r="V44" s="50">
        <v>0.2</v>
      </c>
      <c r="W44" s="50">
        <v>0.15</v>
      </c>
      <c r="X44" s="44">
        <v>13.2</v>
      </c>
      <c r="Y44" s="44">
        <v>8</v>
      </c>
      <c r="Z44" s="44">
        <v>4.8</v>
      </c>
      <c r="AA44" s="73">
        <f t="shared" si="6"/>
        <v>0.08448</v>
      </c>
      <c r="AB44" s="44">
        <v>0.11</v>
      </c>
      <c r="AC44" s="49">
        <v>45</v>
      </c>
      <c r="AD44" s="49">
        <v>15</v>
      </c>
      <c r="AE44" s="74">
        <v>5.5</v>
      </c>
      <c r="AF44" s="48">
        <f t="shared" si="7"/>
        <v>0.644028103044497</v>
      </c>
      <c r="AG44" s="75">
        <f t="shared" si="8"/>
        <v>4.95</v>
      </c>
      <c r="AH44" s="45">
        <f t="shared" si="9"/>
        <v>0.579625292740047</v>
      </c>
      <c r="AI44" s="45">
        <f t="shared" si="10"/>
        <v>1.65</v>
      </c>
      <c r="AJ44" s="45">
        <f t="shared" si="11"/>
        <v>0.193208430913349</v>
      </c>
      <c r="AK44" s="48">
        <f t="shared" si="12"/>
        <v>1.3485</v>
      </c>
      <c r="AL44" s="44">
        <v>2.65</v>
      </c>
      <c r="AM44" s="45">
        <f t="shared" si="13"/>
        <v>1.798</v>
      </c>
      <c r="AN44" s="76">
        <v>0</v>
      </c>
      <c r="AO44" s="45"/>
      <c r="AP44" s="46"/>
      <c r="AQ44" s="45">
        <v>0</v>
      </c>
      <c r="AR44" s="51" t="s">
        <v>306</v>
      </c>
      <c r="AS44" s="52" t="s">
        <v>307</v>
      </c>
      <c r="AT44" s="77">
        <v>3923509000</v>
      </c>
      <c r="AU44" s="52" t="s">
        <v>112</v>
      </c>
      <c r="AV44" s="52" t="s">
        <v>308</v>
      </c>
      <c r="AW44" s="52" t="s">
        <v>309</v>
      </c>
      <c r="AX44" s="52"/>
    </row>
    <row r="45" s="4" customFormat="1" ht="79" customHeight="1" spans="1:50">
      <c r="A45" s="40">
        <v>42</v>
      </c>
      <c r="B45" s="37">
        <v>46175</v>
      </c>
      <c r="C45" s="38" t="s">
        <v>310</v>
      </c>
      <c r="D45" s="39">
        <v>2630751</v>
      </c>
      <c r="E45" s="40" t="s">
        <v>248</v>
      </c>
      <c r="F45" s="55"/>
      <c r="G45" s="56"/>
      <c r="H45" s="57" t="s">
        <v>311</v>
      </c>
      <c r="I45" s="79" t="s">
        <v>250</v>
      </c>
      <c r="J45" s="51" t="s">
        <v>312</v>
      </c>
      <c r="K45" s="51"/>
      <c r="L45" s="51" t="s">
        <v>313</v>
      </c>
      <c r="M45" s="69">
        <v>7.99</v>
      </c>
      <c r="N45" s="45">
        <f t="shared" si="0"/>
        <v>1.66460070257611</v>
      </c>
      <c r="O45" s="46">
        <f t="shared" si="1"/>
        <v>14.21569</v>
      </c>
      <c r="P45" s="70">
        <f t="shared" si="2"/>
        <v>0.208335507206022</v>
      </c>
      <c r="Q45" s="45">
        <f t="shared" si="3"/>
        <v>2.27935480093677</v>
      </c>
      <c r="R45" s="46">
        <f t="shared" si="4"/>
        <v>19.46569</v>
      </c>
      <c r="S45" s="71">
        <f t="shared" si="5"/>
        <v>0.285275945048407</v>
      </c>
      <c r="T45" s="72" t="s">
        <v>61</v>
      </c>
      <c r="U45" s="72">
        <v>8.54</v>
      </c>
      <c r="V45" s="50">
        <v>0.2</v>
      </c>
      <c r="W45" s="50">
        <v>0.15</v>
      </c>
      <c r="X45" s="44">
        <v>28</v>
      </c>
      <c r="Y45" s="44">
        <v>25</v>
      </c>
      <c r="Z45" s="44">
        <v>1.5</v>
      </c>
      <c r="AA45" s="73">
        <f t="shared" si="6"/>
        <v>0.175</v>
      </c>
      <c r="AB45" s="44">
        <v>0.07</v>
      </c>
      <c r="AC45" s="49">
        <v>45</v>
      </c>
      <c r="AD45" s="49">
        <v>15</v>
      </c>
      <c r="AE45" s="74">
        <v>8</v>
      </c>
      <c r="AF45" s="48">
        <f t="shared" si="7"/>
        <v>0.936768149882904</v>
      </c>
      <c r="AG45" s="75">
        <f t="shared" si="8"/>
        <v>7.875</v>
      </c>
      <c r="AH45" s="45">
        <f t="shared" si="9"/>
        <v>0.922131147540984</v>
      </c>
      <c r="AI45" s="45">
        <f t="shared" si="10"/>
        <v>2.625</v>
      </c>
      <c r="AJ45" s="45">
        <f t="shared" si="11"/>
        <v>0.307377049180328</v>
      </c>
      <c r="AK45" s="48">
        <f t="shared" si="12"/>
        <v>1.1985</v>
      </c>
      <c r="AL45" s="44">
        <v>1.67</v>
      </c>
      <c r="AM45" s="45">
        <f t="shared" si="13"/>
        <v>1.598</v>
      </c>
      <c r="AN45" s="76">
        <v>0</v>
      </c>
      <c r="AO45" s="45"/>
      <c r="AP45" s="46"/>
      <c r="AQ45" s="45">
        <v>0</v>
      </c>
      <c r="AR45" s="51" t="s">
        <v>314</v>
      </c>
      <c r="AS45" s="52" t="s">
        <v>315</v>
      </c>
      <c r="AT45" s="77">
        <v>4202929110</v>
      </c>
      <c r="AU45" s="52" t="s">
        <v>256</v>
      </c>
      <c r="AV45" s="52" t="s">
        <v>257</v>
      </c>
      <c r="AW45" s="52" t="s">
        <v>258</v>
      </c>
      <c r="AX45" s="52"/>
    </row>
    <row r="46" s="4" customFormat="1" ht="79" customHeight="1" spans="1:50">
      <c r="A46" s="40">
        <v>43</v>
      </c>
      <c r="B46" s="37">
        <v>46175</v>
      </c>
      <c r="C46" s="38" t="s">
        <v>316</v>
      </c>
      <c r="D46" s="39">
        <v>2630752</v>
      </c>
      <c r="E46" s="40" t="s">
        <v>248</v>
      </c>
      <c r="F46" s="55"/>
      <c r="G46" s="56"/>
      <c r="H46" s="57" t="s">
        <v>311</v>
      </c>
      <c r="I46" s="79" t="s">
        <v>250</v>
      </c>
      <c r="J46" s="51" t="s">
        <v>312</v>
      </c>
      <c r="K46" s="51"/>
      <c r="L46" s="51" t="s">
        <v>313</v>
      </c>
      <c r="M46" s="69">
        <v>7.99</v>
      </c>
      <c r="N46" s="45">
        <f t="shared" si="0"/>
        <v>1.66460070257611</v>
      </c>
      <c r="O46" s="46">
        <f t="shared" si="1"/>
        <v>14.21569</v>
      </c>
      <c r="P46" s="70">
        <f t="shared" si="2"/>
        <v>0.208335507206022</v>
      </c>
      <c r="Q46" s="45">
        <f t="shared" si="3"/>
        <v>2.27935480093677</v>
      </c>
      <c r="R46" s="46">
        <f t="shared" si="4"/>
        <v>19.46569</v>
      </c>
      <c r="S46" s="71">
        <f t="shared" si="5"/>
        <v>0.285275945048407</v>
      </c>
      <c r="T46" s="72" t="s">
        <v>61</v>
      </c>
      <c r="U46" s="72">
        <v>8.54</v>
      </c>
      <c r="V46" s="50">
        <v>0.2</v>
      </c>
      <c r="W46" s="50">
        <v>0.15</v>
      </c>
      <c r="X46" s="44">
        <v>28</v>
      </c>
      <c r="Y46" s="44">
        <v>25</v>
      </c>
      <c r="Z46" s="44">
        <v>1.5</v>
      </c>
      <c r="AA46" s="73">
        <f t="shared" si="6"/>
        <v>0.175</v>
      </c>
      <c r="AB46" s="44">
        <v>0.07</v>
      </c>
      <c r="AC46" s="49">
        <v>45</v>
      </c>
      <c r="AD46" s="49">
        <v>15</v>
      </c>
      <c r="AE46" s="74">
        <v>8</v>
      </c>
      <c r="AF46" s="48">
        <f t="shared" si="7"/>
        <v>0.936768149882904</v>
      </c>
      <c r="AG46" s="75">
        <f t="shared" si="8"/>
        <v>7.875</v>
      </c>
      <c r="AH46" s="45">
        <f t="shared" si="9"/>
        <v>0.922131147540984</v>
      </c>
      <c r="AI46" s="45">
        <f t="shared" si="10"/>
        <v>2.625</v>
      </c>
      <c r="AJ46" s="45">
        <f t="shared" si="11"/>
        <v>0.307377049180328</v>
      </c>
      <c r="AK46" s="48">
        <f t="shared" si="12"/>
        <v>1.1985</v>
      </c>
      <c r="AL46" s="44">
        <v>1.67</v>
      </c>
      <c r="AM46" s="45">
        <f t="shared" si="13"/>
        <v>1.598</v>
      </c>
      <c r="AN46" s="76">
        <v>0</v>
      </c>
      <c r="AO46" s="45"/>
      <c r="AP46" s="46"/>
      <c r="AQ46" s="45">
        <v>0</v>
      </c>
      <c r="AR46" s="51" t="s">
        <v>314</v>
      </c>
      <c r="AS46" s="52" t="s">
        <v>315</v>
      </c>
      <c r="AT46" s="77">
        <v>4202929110</v>
      </c>
      <c r="AU46" s="52" t="s">
        <v>256</v>
      </c>
      <c r="AV46" s="52" t="s">
        <v>257</v>
      </c>
      <c r="AW46" s="52" t="s">
        <v>258</v>
      </c>
      <c r="AX46" s="52"/>
    </row>
    <row r="47" s="4" customFormat="1" ht="79" customHeight="1" spans="1:50">
      <c r="A47" s="40">
        <v>44</v>
      </c>
      <c r="B47" s="37">
        <v>46175</v>
      </c>
      <c r="C47" s="38" t="s">
        <v>317</v>
      </c>
      <c r="D47" s="39">
        <v>2630753</v>
      </c>
      <c r="E47" s="40" t="s">
        <v>248</v>
      </c>
      <c r="F47" s="78" t="s">
        <v>69</v>
      </c>
      <c r="G47" s="56"/>
      <c r="H47" s="79" t="s">
        <v>318</v>
      </c>
      <c r="I47" s="79" t="s">
        <v>319</v>
      </c>
      <c r="J47" s="51" t="s">
        <v>320</v>
      </c>
      <c r="K47" s="51" t="s">
        <v>321</v>
      </c>
      <c r="L47" s="51"/>
      <c r="M47" s="69">
        <v>7.99</v>
      </c>
      <c r="N47" s="45">
        <f t="shared" si="0"/>
        <v>1.78902693208431</v>
      </c>
      <c r="O47" s="46">
        <f t="shared" si="1"/>
        <v>15.27829</v>
      </c>
      <c r="P47" s="70">
        <f t="shared" si="2"/>
        <v>0.22390825182532</v>
      </c>
      <c r="Q47" s="45">
        <f t="shared" si="3"/>
        <v>2.17544379391101</v>
      </c>
      <c r="R47" s="46">
        <f t="shared" si="4"/>
        <v>18.57829</v>
      </c>
      <c r="S47" s="71">
        <f t="shared" si="5"/>
        <v>0.272270812754819</v>
      </c>
      <c r="T47" s="72" t="s">
        <v>61</v>
      </c>
      <c r="U47" s="72">
        <v>8.54</v>
      </c>
      <c r="V47" s="50">
        <v>0.2</v>
      </c>
      <c r="W47" s="50">
        <v>0.15</v>
      </c>
      <c r="X47" s="44">
        <v>16.5</v>
      </c>
      <c r="Y47" s="44">
        <v>16.5</v>
      </c>
      <c r="Z47" s="44">
        <v>2</v>
      </c>
      <c r="AA47" s="73">
        <f t="shared" si="6"/>
        <v>0.09075</v>
      </c>
      <c r="AB47" s="44">
        <v>0.11</v>
      </c>
      <c r="AC47" s="49">
        <v>45</v>
      </c>
      <c r="AD47" s="49">
        <v>15</v>
      </c>
      <c r="AE47" s="74">
        <v>9.35</v>
      </c>
      <c r="AF47" s="48">
        <f t="shared" si="7"/>
        <v>1.09484777517564</v>
      </c>
      <c r="AG47" s="75">
        <f t="shared" si="8"/>
        <v>4.95</v>
      </c>
      <c r="AH47" s="45">
        <f t="shared" si="9"/>
        <v>0.579625292740047</v>
      </c>
      <c r="AI47" s="45">
        <f t="shared" si="10"/>
        <v>1.65</v>
      </c>
      <c r="AJ47" s="45">
        <f t="shared" si="11"/>
        <v>0.193208430913349</v>
      </c>
      <c r="AK47" s="48">
        <f t="shared" si="12"/>
        <v>1.1985</v>
      </c>
      <c r="AL47" s="44">
        <v>1.73</v>
      </c>
      <c r="AM47" s="45">
        <f t="shared" si="13"/>
        <v>1.598</v>
      </c>
      <c r="AN47" s="76">
        <v>0</v>
      </c>
      <c r="AO47" s="45"/>
      <c r="AP47" s="46"/>
      <c r="AQ47" s="45">
        <v>0</v>
      </c>
      <c r="AR47" s="51" t="s">
        <v>322</v>
      </c>
      <c r="AS47" s="52" t="s">
        <v>294</v>
      </c>
      <c r="AT47" s="77">
        <v>9505900000</v>
      </c>
      <c r="AU47" s="52" t="s">
        <v>90</v>
      </c>
      <c r="AV47" s="52" t="s">
        <v>90</v>
      </c>
      <c r="AW47" s="52" t="s">
        <v>295</v>
      </c>
      <c r="AX47" s="52"/>
    </row>
    <row r="48" s="4" customFormat="1" ht="79" customHeight="1" spans="1:50">
      <c r="A48" s="40">
        <v>45</v>
      </c>
      <c r="B48" s="37">
        <v>46175</v>
      </c>
      <c r="C48" s="38" t="s">
        <v>323</v>
      </c>
      <c r="D48" s="39">
        <v>2630754</v>
      </c>
      <c r="E48" s="40" t="s">
        <v>248</v>
      </c>
      <c r="F48" s="55"/>
      <c r="G48" s="56"/>
      <c r="H48" s="57" t="s">
        <v>137</v>
      </c>
      <c r="I48" s="79"/>
      <c r="J48" s="51" t="s">
        <v>324</v>
      </c>
      <c r="K48" s="51" t="s">
        <v>325</v>
      </c>
      <c r="L48" s="51" t="s">
        <v>325</v>
      </c>
      <c r="M48" s="69">
        <v>4.99</v>
      </c>
      <c r="N48" s="45">
        <f t="shared" si="0"/>
        <v>1.16729391100703</v>
      </c>
      <c r="O48" s="46">
        <f t="shared" si="1"/>
        <v>9.96869</v>
      </c>
      <c r="P48" s="70">
        <f t="shared" si="2"/>
        <v>0.23392663547235</v>
      </c>
      <c r="Q48" s="45">
        <f t="shared" si="3"/>
        <v>1.34293793911007</v>
      </c>
      <c r="R48" s="46">
        <f t="shared" si="4"/>
        <v>11.46869</v>
      </c>
      <c r="S48" s="71">
        <f t="shared" si="5"/>
        <v>0.269125839501016</v>
      </c>
      <c r="T48" s="72" t="s">
        <v>61</v>
      </c>
      <c r="U48" s="72">
        <v>8.54</v>
      </c>
      <c r="V48" s="50">
        <v>0.2</v>
      </c>
      <c r="W48" s="50">
        <v>0.15</v>
      </c>
      <c r="X48" s="44">
        <v>14.5</v>
      </c>
      <c r="Y48" s="44">
        <v>5</v>
      </c>
      <c r="Z48" s="44">
        <v>1.5</v>
      </c>
      <c r="AA48" s="73">
        <f t="shared" si="6"/>
        <v>0.018125</v>
      </c>
      <c r="AB48" s="44">
        <v>0.05</v>
      </c>
      <c r="AC48" s="49">
        <v>45</v>
      </c>
      <c r="AD48" s="49">
        <v>15</v>
      </c>
      <c r="AE48" s="74">
        <v>2.5</v>
      </c>
      <c r="AF48" s="48">
        <f t="shared" si="7"/>
        <v>0.292740046838408</v>
      </c>
      <c r="AG48" s="75">
        <f t="shared" si="8"/>
        <v>2.25</v>
      </c>
      <c r="AH48" s="45">
        <f t="shared" si="9"/>
        <v>0.263466042154567</v>
      </c>
      <c r="AI48" s="45">
        <f t="shared" si="10"/>
        <v>0.75</v>
      </c>
      <c r="AJ48" s="45">
        <f t="shared" si="11"/>
        <v>0.0878220140515223</v>
      </c>
      <c r="AK48" s="48">
        <f t="shared" si="12"/>
        <v>0.7485</v>
      </c>
      <c r="AL48" s="44">
        <v>1.52</v>
      </c>
      <c r="AM48" s="45">
        <f t="shared" si="13"/>
        <v>0.998</v>
      </c>
      <c r="AN48" s="76">
        <v>0</v>
      </c>
      <c r="AO48" s="45"/>
      <c r="AP48" s="46"/>
      <c r="AQ48" s="45">
        <v>0</v>
      </c>
      <c r="AR48" s="51" t="s">
        <v>326</v>
      </c>
      <c r="AS48" s="52" t="s">
        <v>327</v>
      </c>
      <c r="AT48" s="77">
        <v>9608990000</v>
      </c>
      <c r="AU48" s="52" t="s">
        <v>112</v>
      </c>
      <c r="AV48" s="52" t="s">
        <v>328</v>
      </c>
      <c r="AW48" s="52" t="s">
        <v>329</v>
      </c>
      <c r="AX48" s="52"/>
    </row>
    <row r="49" s="4" customFormat="1" ht="79" customHeight="1" spans="1:50">
      <c r="A49" s="40">
        <v>46</v>
      </c>
      <c r="B49" s="37">
        <v>46175</v>
      </c>
      <c r="C49" s="38" t="s">
        <v>330</v>
      </c>
      <c r="D49" s="39">
        <v>2630755</v>
      </c>
      <c r="E49" s="40" t="s">
        <v>248</v>
      </c>
      <c r="F49" s="78" t="s">
        <v>74</v>
      </c>
      <c r="G49" s="56"/>
      <c r="H49" s="79" t="s">
        <v>331</v>
      </c>
      <c r="I49" s="79" t="s">
        <v>76</v>
      </c>
      <c r="J49" s="51" t="s">
        <v>332</v>
      </c>
      <c r="K49" s="51"/>
      <c r="L49" s="51"/>
      <c r="M49" s="69">
        <v>7.99</v>
      </c>
      <c r="N49" s="45">
        <f t="shared" si="0"/>
        <v>1.869518735363</v>
      </c>
      <c r="O49" s="46">
        <f t="shared" si="1"/>
        <v>15.96569</v>
      </c>
      <c r="P49" s="70">
        <f t="shared" si="2"/>
        <v>0.23398231982015</v>
      </c>
      <c r="Q49" s="45">
        <f t="shared" si="3"/>
        <v>2.30862880562061</v>
      </c>
      <c r="R49" s="46">
        <f t="shared" si="4"/>
        <v>19.71569</v>
      </c>
      <c r="S49" s="71">
        <f t="shared" si="5"/>
        <v>0.288939775421853</v>
      </c>
      <c r="T49" s="72" t="s">
        <v>61</v>
      </c>
      <c r="U49" s="72">
        <v>8.54</v>
      </c>
      <c r="V49" s="50">
        <v>0.2</v>
      </c>
      <c r="W49" s="50">
        <v>0.15</v>
      </c>
      <c r="X49" s="44">
        <v>25</v>
      </c>
      <c r="Y49" s="44">
        <v>15</v>
      </c>
      <c r="Z49" s="44">
        <v>2</v>
      </c>
      <c r="AA49" s="73">
        <f t="shared" si="6"/>
        <v>0.125</v>
      </c>
      <c r="AB49" s="44">
        <v>0.06</v>
      </c>
      <c r="AC49" s="49">
        <v>45</v>
      </c>
      <c r="AD49" s="49">
        <v>15</v>
      </c>
      <c r="AE49" s="74">
        <v>8.5</v>
      </c>
      <c r="AF49" s="48">
        <f t="shared" si="7"/>
        <v>0.995316159250586</v>
      </c>
      <c r="AG49" s="75">
        <f t="shared" si="8"/>
        <v>5.625</v>
      </c>
      <c r="AH49" s="45">
        <f t="shared" si="9"/>
        <v>0.658665105386417</v>
      </c>
      <c r="AI49" s="45">
        <f t="shared" si="10"/>
        <v>1.875</v>
      </c>
      <c r="AJ49" s="45">
        <f t="shared" si="11"/>
        <v>0.219555035128806</v>
      </c>
      <c r="AK49" s="48">
        <f t="shared" si="12"/>
        <v>1.1985</v>
      </c>
      <c r="AL49" s="44">
        <v>1.67</v>
      </c>
      <c r="AM49" s="45">
        <f t="shared" si="13"/>
        <v>1.598</v>
      </c>
      <c r="AN49" s="76">
        <v>0</v>
      </c>
      <c r="AO49" s="45"/>
      <c r="AP49" s="46"/>
      <c r="AQ49" s="45">
        <v>0</v>
      </c>
      <c r="AR49" s="51" t="s">
        <v>333</v>
      </c>
      <c r="AS49" s="52" t="s">
        <v>334</v>
      </c>
      <c r="AT49" s="77">
        <v>4202229090</v>
      </c>
      <c r="AU49" s="52" t="s">
        <v>301</v>
      </c>
      <c r="AV49" s="52" t="s">
        <v>257</v>
      </c>
      <c r="AW49" s="52" t="s">
        <v>258</v>
      </c>
      <c r="AX49" s="52"/>
    </row>
    <row r="50" s="4" customFormat="1" ht="79" customHeight="1" spans="1:50">
      <c r="A50" s="40">
        <v>47</v>
      </c>
      <c r="B50" s="37">
        <v>46175</v>
      </c>
      <c r="C50" s="38" t="s">
        <v>335</v>
      </c>
      <c r="D50" s="39">
        <v>2630756</v>
      </c>
      <c r="E50" s="40" t="s">
        <v>248</v>
      </c>
      <c r="F50" s="78" t="s">
        <v>74</v>
      </c>
      <c r="G50" s="56"/>
      <c r="H50" s="79" t="s">
        <v>331</v>
      </c>
      <c r="I50" s="79" t="s">
        <v>336</v>
      </c>
      <c r="J50" s="51"/>
      <c r="K50" s="51"/>
      <c r="L50" s="51"/>
      <c r="M50" s="69"/>
      <c r="N50" s="45">
        <f t="shared" si="0"/>
        <v>-1.41978922716628</v>
      </c>
      <c r="O50" s="46">
        <f t="shared" si="1"/>
        <v>-12.125</v>
      </c>
      <c r="P50" s="70" t="e">
        <f t="shared" si="2"/>
        <v>#DIV/0!</v>
      </c>
      <c r="Q50" s="45">
        <f t="shared" si="3"/>
        <v>-0.980679156908665</v>
      </c>
      <c r="R50" s="46">
        <f t="shared" si="4"/>
        <v>-8.375</v>
      </c>
      <c r="S50" s="71" t="e">
        <f t="shared" si="5"/>
        <v>#DIV/0!</v>
      </c>
      <c r="T50" s="72" t="s">
        <v>61</v>
      </c>
      <c r="U50" s="72">
        <v>8.54</v>
      </c>
      <c r="V50" s="50">
        <v>0.2</v>
      </c>
      <c r="W50" s="50">
        <v>0.15</v>
      </c>
      <c r="X50" s="44">
        <v>25</v>
      </c>
      <c r="Y50" s="44">
        <v>15</v>
      </c>
      <c r="Z50" s="44">
        <v>2</v>
      </c>
      <c r="AA50" s="73">
        <f t="shared" si="6"/>
        <v>0.125</v>
      </c>
      <c r="AB50" s="44">
        <v>0.05</v>
      </c>
      <c r="AC50" s="49">
        <v>45</v>
      </c>
      <c r="AD50" s="49">
        <v>15</v>
      </c>
      <c r="AE50" s="74">
        <v>6.5</v>
      </c>
      <c r="AF50" s="48">
        <f t="shared" si="7"/>
        <v>0.76112412177986</v>
      </c>
      <c r="AG50" s="75">
        <f t="shared" si="8"/>
        <v>5.625</v>
      </c>
      <c r="AH50" s="45">
        <f t="shared" si="9"/>
        <v>0.658665105386417</v>
      </c>
      <c r="AI50" s="45">
        <f t="shared" si="10"/>
        <v>1.875</v>
      </c>
      <c r="AJ50" s="45">
        <f t="shared" si="11"/>
        <v>0.219555035128806</v>
      </c>
      <c r="AK50" s="48">
        <f t="shared" si="12"/>
        <v>0</v>
      </c>
      <c r="AL50" s="44"/>
      <c r="AM50" s="45">
        <f t="shared" si="13"/>
        <v>0</v>
      </c>
      <c r="AN50" s="76">
        <v>0</v>
      </c>
      <c r="AO50" s="45"/>
      <c r="AP50" s="46"/>
      <c r="AQ50" s="45">
        <v>0</v>
      </c>
      <c r="AR50" s="51" t="s">
        <v>333</v>
      </c>
      <c r="AS50" s="52" t="s">
        <v>334</v>
      </c>
      <c r="AT50" s="77">
        <v>4202229090</v>
      </c>
      <c r="AU50" s="52" t="s">
        <v>301</v>
      </c>
      <c r="AV50" s="52" t="s">
        <v>257</v>
      </c>
      <c r="AW50" s="52" t="s">
        <v>258</v>
      </c>
      <c r="AX50" s="52"/>
    </row>
    <row r="51" s="4" customFormat="1" ht="79" customHeight="1" spans="1:50">
      <c r="A51" s="40">
        <v>48</v>
      </c>
      <c r="B51" s="37">
        <v>46175</v>
      </c>
      <c r="C51" s="38" t="s">
        <v>337</v>
      </c>
      <c r="D51" s="39">
        <v>2630757</v>
      </c>
      <c r="E51" s="40" t="s">
        <v>248</v>
      </c>
      <c r="F51" s="78" t="s">
        <v>74</v>
      </c>
      <c r="G51" s="56"/>
      <c r="H51" s="79" t="s">
        <v>331</v>
      </c>
      <c r="I51" s="79" t="s">
        <v>336</v>
      </c>
      <c r="J51" s="51"/>
      <c r="K51" s="51"/>
      <c r="L51" s="51"/>
      <c r="M51" s="69"/>
      <c r="N51" s="45">
        <f t="shared" si="0"/>
        <v>-0.286885245901639</v>
      </c>
      <c r="O51" s="46">
        <f t="shared" si="1"/>
        <v>-2.45</v>
      </c>
      <c r="P51" s="70" t="e">
        <f t="shared" si="2"/>
        <v>#DIV/0!</v>
      </c>
      <c r="Q51" s="45">
        <f t="shared" si="3"/>
        <v>-0.25175644028103</v>
      </c>
      <c r="R51" s="46">
        <f t="shared" si="4"/>
        <v>-2.15</v>
      </c>
      <c r="S51" s="71" t="e">
        <f t="shared" si="5"/>
        <v>#DIV/0!</v>
      </c>
      <c r="T51" s="72" t="s">
        <v>61</v>
      </c>
      <c r="U51" s="72">
        <v>8.54</v>
      </c>
      <c r="V51" s="50">
        <v>0.2</v>
      </c>
      <c r="W51" s="50">
        <v>0.15</v>
      </c>
      <c r="X51" s="44"/>
      <c r="Y51" s="44"/>
      <c r="Z51" s="44"/>
      <c r="AA51" s="73">
        <f t="shared" si="6"/>
        <v>0</v>
      </c>
      <c r="AB51" s="44">
        <v>0.01</v>
      </c>
      <c r="AC51" s="49">
        <v>45</v>
      </c>
      <c r="AD51" s="49">
        <v>15</v>
      </c>
      <c r="AE51" s="74">
        <v>2</v>
      </c>
      <c r="AF51" s="48">
        <f t="shared" si="7"/>
        <v>0.234192037470726</v>
      </c>
      <c r="AG51" s="75">
        <f t="shared" si="8"/>
        <v>0.45</v>
      </c>
      <c r="AH51" s="45">
        <f t="shared" si="9"/>
        <v>0.0526932084309134</v>
      </c>
      <c r="AI51" s="45">
        <f t="shared" si="10"/>
        <v>0.15</v>
      </c>
      <c r="AJ51" s="45">
        <f t="shared" si="11"/>
        <v>0.0175644028103045</v>
      </c>
      <c r="AK51" s="48">
        <f t="shared" si="12"/>
        <v>0</v>
      </c>
      <c r="AL51" s="44"/>
      <c r="AM51" s="45">
        <f t="shared" si="13"/>
        <v>0</v>
      </c>
      <c r="AN51" s="76">
        <v>0</v>
      </c>
      <c r="AO51" s="45"/>
      <c r="AP51" s="46"/>
      <c r="AQ51" s="45">
        <v>0</v>
      </c>
      <c r="AR51" s="51" t="s">
        <v>338</v>
      </c>
      <c r="AS51" s="52" t="s">
        <v>339</v>
      </c>
      <c r="AT51" s="77"/>
      <c r="AU51" s="52"/>
      <c r="AV51" s="52"/>
      <c r="AW51" s="52"/>
      <c r="AX51" s="52"/>
    </row>
    <row r="52" s="4" customFormat="1" ht="79" customHeight="1" spans="1:50">
      <c r="A52" s="40">
        <v>49</v>
      </c>
      <c r="B52" s="37">
        <v>46175</v>
      </c>
      <c r="C52" s="38" t="s">
        <v>340</v>
      </c>
      <c r="D52" s="39">
        <v>2630758</v>
      </c>
      <c r="E52" s="40" t="s">
        <v>248</v>
      </c>
      <c r="F52" s="78"/>
      <c r="G52" s="56"/>
      <c r="H52" s="79" t="s">
        <v>341</v>
      </c>
      <c r="I52" s="79"/>
      <c r="J52" s="51" t="s">
        <v>342</v>
      </c>
      <c r="K52" s="51" t="s">
        <v>343</v>
      </c>
      <c r="L52" s="51"/>
      <c r="M52" s="69">
        <v>8.99</v>
      </c>
      <c r="N52" s="45">
        <f t="shared" si="0"/>
        <v>1.84563114754098</v>
      </c>
      <c r="O52" s="46">
        <f t="shared" si="1"/>
        <v>15.76169</v>
      </c>
      <c r="P52" s="70">
        <f t="shared" si="2"/>
        <v>0.205298236656394</v>
      </c>
      <c r="Q52" s="45">
        <f t="shared" si="3"/>
        <v>2.14539695550351</v>
      </c>
      <c r="R52" s="46">
        <f t="shared" si="4"/>
        <v>18.32169</v>
      </c>
      <c r="S52" s="71">
        <f t="shared" si="5"/>
        <v>0.238642597942549</v>
      </c>
      <c r="T52" s="72" t="s">
        <v>61</v>
      </c>
      <c r="U52" s="72">
        <v>8.54</v>
      </c>
      <c r="V52" s="50">
        <v>0.2</v>
      </c>
      <c r="W52" s="50">
        <v>0.15</v>
      </c>
      <c r="X52" s="44">
        <v>8</v>
      </c>
      <c r="Y52" s="44">
        <v>8</v>
      </c>
      <c r="Z52" s="44">
        <v>8</v>
      </c>
      <c r="AA52" s="73">
        <f t="shared" si="6"/>
        <v>0.0853333333333333</v>
      </c>
      <c r="AB52" s="44">
        <v>0.05</v>
      </c>
      <c r="AC52" s="49">
        <v>45</v>
      </c>
      <c r="AD52" s="49">
        <v>15</v>
      </c>
      <c r="AE52" s="74">
        <v>7.5</v>
      </c>
      <c r="AF52" s="48">
        <f t="shared" si="7"/>
        <v>0.878220140515223</v>
      </c>
      <c r="AG52" s="75">
        <f t="shared" si="8"/>
        <v>3.84</v>
      </c>
      <c r="AH52" s="45">
        <f t="shared" si="9"/>
        <v>0.449648711943794</v>
      </c>
      <c r="AI52" s="45">
        <f t="shared" si="10"/>
        <v>1.28</v>
      </c>
      <c r="AJ52" s="45">
        <f t="shared" si="11"/>
        <v>0.149882903981265</v>
      </c>
      <c r="AK52" s="48">
        <f t="shared" si="12"/>
        <v>1.3485</v>
      </c>
      <c r="AL52" s="44">
        <v>2.67</v>
      </c>
      <c r="AM52" s="45">
        <f t="shared" si="13"/>
        <v>1.798</v>
      </c>
      <c r="AN52" s="76">
        <v>0</v>
      </c>
      <c r="AO52" s="45"/>
      <c r="AP52" s="46"/>
      <c r="AQ52" s="45">
        <v>0</v>
      </c>
      <c r="AR52" s="51" t="s">
        <v>344</v>
      </c>
      <c r="AS52" s="52" t="s">
        <v>345</v>
      </c>
      <c r="AT52" s="77">
        <v>3926909790</v>
      </c>
      <c r="AU52" s="52" t="s">
        <v>112</v>
      </c>
      <c r="AV52" s="52" t="s">
        <v>225</v>
      </c>
      <c r="AW52" s="52" t="s">
        <v>346</v>
      </c>
      <c r="AX52" s="52"/>
    </row>
    <row r="53" s="4" customFormat="1" ht="79" customHeight="1" spans="1:50">
      <c r="A53" s="40">
        <v>50</v>
      </c>
      <c r="B53" s="37">
        <v>46175</v>
      </c>
      <c r="C53" s="38" t="s">
        <v>347</v>
      </c>
      <c r="D53" s="39">
        <v>2630759</v>
      </c>
      <c r="E53" s="40" t="s">
        <v>248</v>
      </c>
      <c r="F53" s="78" t="s">
        <v>74</v>
      </c>
      <c r="G53" s="56"/>
      <c r="H53" s="57" t="s">
        <v>348</v>
      </c>
      <c r="I53" s="79" t="s">
        <v>250</v>
      </c>
      <c r="J53" s="51" t="s">
        <v>349</v>
      </c>
      <c r="K53" s="51" t="s">
        <v>350</v>
      </c>
      <c r="L53" s="51" t="s">
        <v>351</v>
      </c>
      <c r="M53" s="69">
        <v>8.99</v>
      </c>
      <c r="N53" s="45">
        <f t="shared" si="0"/>
        <v>1.87841803278689</v>
      </c>
      <c r="O53" s="46">
        <f t="shared" si="1"/>
        <v>16.04169</v>
      </c>
      <c r="P53" s="70">
        <f t="shared" si="2"/>
        <v>0.208945276172067</v>
      </c>
      <c r="Q53" s="45">
        <f t="shared" si="3"/>
        <v>2.15944847775176</v>
      </c>
      <c r="R53" s="46">
        <f t="shared" si="4"/>
        <v>18.44169</v>
      </c>
      <c r="S53" s="71">
        <f t="shared" si="5"/>
        <v>0.240205614877837</v>
      </c>
      <c r="T53" s="72" t="s">
        <v>61</v>
      </c>
      <c r="U53" s="72">
        <v>8.54</v>
      </c>
      <c r="V53" s="50">
        <v>0.2</v>
      </c>
      <c r="W53" s="50">
        <v>0.15</v>
      </c>
      <c r="X53" s="44">
        <v>9</v>
      </c>
      <c r="Y53" s="44">
        <v>6</v>
      </c>
      <c r="Z53" s="44">
        <v>2</v>
      </c>
      <c r="AA53" s="73">
        <f t="shared" si="6"/>
        <v>0.018</v>
      </c>
      <c r="AB53" s="44">
        <v>0.08</v>
      </c>
      <c r="AC53" s="49">
        <v>45</v>
      </c>
      <c r="AD53" s="49">
        <v>15</v>
      </c>
      <c r="AE53" s="74">
        <v>16</v>
      </c>
      <c r="AF53" s="48">
        <f t="shared" si="7"/>
        <v>1.87353629976581</v>
      </c>
      <c r="AG53" s="75">
        <f t="shared" si="8"/>
        <v>3.6</v>
      </c>
      <c r="AH53" s="45">
        <f t="shared" si="9"/>
        <v>0.421545667447307</v>
      </c>
      <c r="AI53" s="45">
        <f t="shared" si="10"/>
        <v>1.2</v>
      </c>
      <c r="AJ53" s="45">
        <f t="shared" si="11"/>
        <v>0.140515222482436</v>
      </c>
      <c r="AK53" s="48">
        <f t="shared" si="12"/>
        <v>1.3485</v>
      </c>
      <c r="AL53" s="44">
        <v>1.67</v>
      </c>
      <c r="AM53" s="45">
        <f t="shared" si="13"/>
        <v>1.798</v>
      </c>
      <c r="AN53" s="76">
        <v>0</v>
      </c>
      <c r="AO53" s="45"/>
      <c r="AP53" s="46"/>
      <c r="AQ53" s="45">
        <v>0</v>
      </c>
      <c r="AR53" s="51" t="s">
        <v>352</v>
      </c>
      <c r="AS53" s="52" t="s">
        <v>353</v>
      </c>
      <c r="AT53" s="77">
        <v>3926909790</v>
      </c>
      <c r="AU53" s="52" t="s">
        <v>112</v>
      </c>
      <c r="AV53" s="52" t="s">
        <v>354</v>
      </c>
      <c r="AW53" s="52" t="s">
        <v>355</v>
      </c>
      <c r="AX53" s="52" t="s">
        <v>356</v>
      </c>
    </row>
    <row r="54" s="4" customFormat="1" ht="79" customHeight="1" spans="1:50">
      <c r="A54" s="40">
        <v>51</v>
      </c>
      <c r="B54" s="37">
        <v>46175</v>
      </c>
      <c r="C54" s="38" t="s">
        <v>357</v>
      </c>
      <c r="D54" s="39">
        <v>2630760</v>
      </c>
      <c r="E54" s="40" t="s">
        <v>248</v>
      </c>
      <c r="F54" s="55"/>
      <c r="G54" s="56"/>
      <c r="H54" s="57" t="s">
        <v>358</v>
      </c>
      <c r="I54" s="79" t="s">
        <v>250</v>
      </c>
      <c r="J54" s="51" t="s">
        <v>359</v>
      </c>
      <c r="K54" s="51" t="s">
        <v>360</v>
      </c>
      <c r="L54" s="51" t="s">
        <v>361</v>
      </c>
      <c r="M54" s="69">
        <v>13.99</v>
      </c>
      <c r="N54" s="45">
        <f t="shared" si="0"/>
        <v>3.14164988290398</v>
      </c>
      <c r="O54" s="46">
        <f t="shared" si="1"/>
        <v>26.82969</v>
      </c>
      <c r="P54" s="70">
        <f t="shared" si="2"/>
        <v>0.224563965897354</v>
      </c>
      <c r="Q54" s="45">
        <f t="shared" si="3"/>
        <v>4.12525644028103</v>
      </c>
      <c r="R54" s="46">
        <f t="shared" si="4"/>
        <v>35.22969</v>
      </c>
      <c r="S54" s="71">
        <f t="shared" si="5"/>
        <v>0.294871797017944</v>
      </c>
      <c r="T54" s="72" t="s">
        <v>61</v>
      </c>
      <c r="U54" s="72">
        <v>8.54</v>
      </c>
      <c r="V54" s="50">
        <v>0.2</v>
      </c>
      <c r="W54" s="50">
        <v>0.15</v>
      </c>
      <c r="X54" s="44">
        <v>20</v>
      </c>
      <c r="Y54" s="44">
        <v>5</v>
      </c>
      <c r="Z54" s="44">
        <v>3</v>
      </c>
      <c r="AA54" s="73">
        <f t="shared" si="6"/>
        <v>0.05</v>
      </c>
      <c r="AB54" s="44">
        <v>0.28</v>
      </c>
      <c r="AC54" s="49">
        <v>45</v>
      </c>
      <c r="AD54" s="49">
        <v>15</v>
      </c>
      <c r="AE54" s="74">
        <v>15</v>
      </c>
      <c r="AF54" s="48">
        <f t="shared" si="7"/>
        <v>1.75644028103045</v>
      </c>
      <c r="AG54" s="75">
        <f t="shared" si="8"/>
        <v>12.6</v>
      </c>
      <c r="AH54" s="45">
        <f t="shared" si="9"/>
        <v>1.47540983606557</v>
      </c>
      <c r="AI54" s="45">
        <f t="shared" si="10"/>
        <v>4.2</v>
      </c>
      <c r="AJ54" s="45">
        <f t="shared" si="11"/>
        <v>0.491803278688525</v>
      </c>
      <c r="AK54" s="48">
        <f t="shared" si="12"/>
        <v>2.0985</v>
      </c>
      <c r="AL54" s="44">
        <v>2.72</v>
      </c>
      <c r="AM54" s="45">
        <f t="shared" si="13"/>
        <v>2.798</v>
      </c>
      <c r="AN54" s="76">
        <v>0</v>
      </c>
      <c r="AO54" s="45"/>
      <c r="AP54" s="46"/>
      <c r="AQ54" s="45">
        <v>0</v>
      </c>
      <c r="AR54" s="51" t="s">
        <v>362</v>
      </c>
      <c r="AS54" s="52" t="s">
        <v>363</v>
      </c>
      <c r="AT54" s="77">
        <v>3926909790</v>
      </c>
      <c r="AU54" s="52" t="s">
        <v>112</v>
      </c>
      <c r="AV54" s="52" t="s">
        <v>234</v>
      </c>
      <c r="AW54" s="52" t="s">
        <v>364</v>
      </c>
      <c r="AX54" s="52"/>
    </row>
    <row r="55" s="4" customFormat="1" ht="79" customHeight="1" spans="1:50">
      <c r="A55" s="40">
        <v>52</v>
      </c>
      <c r="B55" s="37">
        <v>46175</v>
      </c>
      <c r="C55" s="38" t="s">
        <v>365</v>
      </c>
      <c r="D55" s="39">
        <v>2630761</v>
      </c>
      <c r="E55" s="40" t="s">
        <v>248</v>
      </c>
      <c r="F55" s="55"/>
      <c r="G55" s="56"/>
      <c r="H55" s="79" t="s">
        <v>366</v>
      </c>
      <c r="I55" s="79"/>
      <c r="J55" s="51" t="s">
        <v>290</v>
      </c>
      <c r="K55" s="51" t="s">
        <v>291</v>
      </c>
      <c r="L55" s="51" t="s">
        <v>292</v>
      </c>
      <c r="M55" s="69">
        <v>5.99</v>
      </c>
      <c r="N55" s="45">
        <f t="shared" si="0"/>
        <v>0.712961358313818</v>
      </c>
      <c r="O55" s="46">
        <f t="shared" si="1"/>
        <v>6.08869</v>
      </c>
      <c r="P55" s="70">
        <f t="shared" si="2"/>
        <v>0.119025268499803</v>
      </c>
      <c r="Q55" s="45">
        <f t="shared" si="3"/>
        <v>1.27502224824356</v>
      </c>
      <c r="R55" s="46">
        <f t="shared" si="4"/>
        <v>10.88869</v>
      </c>
      <c r="S55" s="71">
        <f t="shared" si="5"/>
        <v>0.212858472160861</v>
      </c>
      <c r="T55" s="72" t="s">
        <v>61</v>
      </c>
      <c r="U55" s="72">
        <v>8.54</v>
      </c>
      <c r="V55" s="50">
        <v>0.2</v>
      </c>
      <c r="W55" s="50">
        <v>0.15</v>
      </c>
      <c r="X55" s="44">
        <v>16</v>
      </c>
      <c r="Y55" s="44">
        <v>16</v>
      </c>
      <c r="Z55" s="44">
        <v>2</v>
      </c>
      <c r="AA55" s="73">
        <f t="shared" si="6"/>
        <v>0.0853333333333333</v>
      </c>
      <c r="AB55" s="44">
        <v>0.16</v>
      </c>
      <c r="AC55" s="49">
        <v>45</v>
      </c>
      <c r="AD55" s="49">
        <v>15</v>
      </c>
      <c r="AE55" s="74">
        <v>5.7</v>
      </c>
      <c r="AF55" s="48">
        <f t="shared" si="7"/>
        <v>0.667447306791569</v>
      </c>
      <c r="AG55" s="75">
        <f t="shared" si="8"/>
        <v>7.2</v>
      </c>
      <c r="AH55" s="45">
        <f t="shared" si="9"/>
        <v>0.843091334894614</v>
      </c>
      <c r="AI55" s="45">
        <f t="shared" si="10"/>
        <v>2.4</v>
      </c>
      <c r="AJ55" s="45">
        <f t="shared" si="11"/>
        <v>0.281030444964871</v>
      </c>
      <c r="AK55" s="48">
        <f t="shared" si="12"/>
        <v>0.8985</v>
      </c>
      <c r="AL55" s="44">
        <v>1.67</v>
      </c>
      <c r="AM55" s="45">
        <f t="shared" si="13"/>
        <v>1.198</v>
      </c>
      <c r="AN55" s="76">
        <v>0</v>
      </c>
      <c r="AO55" s="45"/>
      <c r="AP55" s="46"/>
      <c r="AQ55" s="45">
        <v>0</v>
      </c>
      <c r="AR55" s="51" t="s">
        <v>367</v>
      </c>
      <c r="AS55" s="52" t="s">
        <v>368</v>
      </c>
      <c r="AT55" s="77">
        <v>9505900000</v>
      </c>
      <c r="AU55" s="52" t="s">
        <v>90</v>
      </c>
      <c r="AV55" s="52" t="s">
        <v>90</v>
      </c>
      <c r="AW55" s="52" t="s">
        <v>295</v>
      </c>
      <c r="AX55" s="52"/>
    </row>
    <row r="56" s="4" customFormat="1" ht="79" customHeight="1" spans="1:50">
      <c r="A56" s="40">
        <v>53</v>
      </c>
      <c r="B56" s="37">
        <v>46175</v>
      </c>
      <c r="C56" s="38" t="s">
        <v>369</v>
      </c>
      <c r="D56" s="39">
        <v>2630762</v>
      </c>
      <c r="E56" s="40" t="s">
        <v>248</v>
      </c>
      <c r="F56" s="78"/>
      <c r="G56" s="56"/>
      <c r="H56" s="57" t="s">
        <v>370</v>
      </c>
      <c r="I56" s="79"/>
      <c r="J56" s="51" t="s">
        <v>371</v>
      </c>
      <c r="K56" s="51" t="s">
        <v>372</v>
      </c>
      <c r="L56" s="51"/>
      <c r="M56" s="69">
        <v>6.99</v>
      </c>
      <c r="N56" s="45">
        <f t="shared" si="0"/>
        <v>1.3331018735363</v>
      </c>
      <c r="O56" s="46">
        <f t="shared" si="1"/>
        <v>11.38469</v>
      </c>
      <c r="P56" s="70">
        <f t="shared" si="2"/>
        <v>0.190715575613205</v>
      </c>
      <c r="Q56" s="45">
        <f t="shared" si="3"/>
        <v>1.50874590163934</v>
      </c>
      <c r="R56" s="46">
        <f t="shared" si="4"/>
        <v>12.88469</v>
      </c>
      <c r="S56" s="71">
        <f t="shared" si="5"/>
        <v>0.215843476629377</v>
      </c>
      <c r="T56" s="72" t="s">
        <v>61</v>
      </c>
      <c r="U56" s="72">
        <v>8.54</v>
      </c>
      <c r="V56" s="50">
        <v>0.2</v>
      </c>
      <c r="W56" s="50">
        <v>0.15</v>
      </c>
      <c r="X56" s="44">
        <v>8.5</v>
      </c>
      <c r="Y56" s="44">
        <v>8.5</v>
      </c>
      <c r="Z56" s="44">
        <v>4</v>
      </c>
      <c r="AA56" s="73">
        <f t="shared" si="6"/>
        <v>0.0481666666666667</v>
      </c>
      <c r="AB56" s="44">
        <v>0.05</v>
      </c>
      <c r="AC56" s="49">
        <v>45</v>
      </c>
      <c r="AD56" s="49">
        <v>15</v>
      </c>
      <c r="AE56" s="74">
        <v>4.5</v>
      </c>
      <c r="AF56" s="48">
        <f t="shared" si="7"/>
        <v>0.526932084309134</v>
      </c>
      <c r="AG56" s="75">
        <f t="shared" si="8"/>
        <v>2.25</v>
      </c>
      <c r="AH56" s="45">
        <f t="shared" si="9"/>
        <v>0.263466042154567</v>
      </c>
      <c r="AI56" s="45">
        <f t="shared" si="10"/>
        <v>0.75</v>
      </c>
      <c r="AJ56" s="45">
        <f t="shared" si="11"/>
        <v>0.0878220140515223</v>
      </c>
      <c r="AK56" s="48">
        <f t="shared" si="12"/>
        <v>1.0485</v>
      </c>
      <c r="AL56" s="44">
        <v>2.42</v>
      </c>
      <c r="AM56" s="45">
        <f t="shared" si="13"/>
        <v>1.398</v>
      </c>
      <c r="AN56" s="76">
        <v>0</v>
      </c>
      <c r="AO56" s="45"/>
      <c r="AP56" s="46"/>
      <c r="AQ56" s="45">
        <v>0</v>
      </c>
      <c r="AR56" s="51" t="s">
        <v>373</v>
      </c>
      <c r="AS56" s="52" t="s">
        <v>374</v>
      </c>
      <c r="AT56" s="77">
        <v>9503009990</v>
      </c>
      <c r="AU56" s="52" t="s">
        <v>112</v>
      </c>
      <c r="AV56" s="52" t="s">
        <v>375</v>
      </c>
      <c r="AW56" s="52" t="s">
        <v>376</v>
      </c>
      <c r="AX56" s="52"/>
    </row>
    <row r="57" s="4" customFormat="1" ht="79" customHeight="1" spans="1:50">
      <c r="A57" s="40">
        <v>54</v>
      </c>
      <c r="B57" s="37">
        <v>46175</v>
      </c>
      <c r="C57" s="38" t="s">
        <v>377</v>
      </c>
      <c r="D57" s="39">
        <v>2630763</v>
      </c>
      <c r="E57" s="40" t="s">
        <v>248</v>
      </c>
      <c r="F57" s="55"/>
      <c r="G57" s="56"/>
      <c r="H57" s="57" t="s">
        <v>378</v>
      </c>
      <c r="I57" s="79" t="s">
        <v>250</v>
      </c>
      <c r="J57" s="51" t="s">
        <v>379</v>
      </c>
      <c r="K57" s="51" t="s">
        <v>380</v>
      </c>
      <c r="L57" s="51" t="s">
        <v>381</v>
      </c>
      <c r="M57" s="69">
        <v>9.99</v>
      </c>
      <c r="N57" s="45">
        <f t="shared" si="0"/>
        <v>2.14141569086651</v>
      </c>
      <c r="O57" s="46">
        <f t="shared" si="1"/>
        <v>18.28769</v>
      </c>
      <c r="P57" s="70">
        <f t="shared" si="2"/>
        <v>0.214355925011663</v>
      </c>
      <c r="Q57" s="45">
        <f t="shared" si="3"/>
        <v>2.35218852459016</v>
      </c>
      <c r="R57" s="46">
        <f t="shared" si="4"/>
        <v>20.08769</v>
      </c>
      <c r="S57" s="71">
        <f t="shared" si="5"/>
        <v>0.235454306765782</v>
      </c>
      <c r="T57" s="72" t="s">
        <v>61</v>
      </c>
      <c r="U57" s="72">
        <v>8.54</v>
      </c>
      <c r="V57" s="50">
        <v>0.2</v>
      </c>
      <c r="W57" s="50">
        <v>0.15</v>
      </c>
      <c r="X57" s="44">
        <v>10</v>
      </c>
      <c r="Y57" s="44">
        <v>10</v>
      </c>
      <c r="Z57" s="44">
        <v>3.3</v>
      </c>
      <c r="AA57" s="73">
        <f t="shared" si="6"/>
        <v>0.055</v>
      </c>
      <c r="AB57" s="44">
        <v>0.06</v>
      </c>
      <c r="AC57" s="49">
        <v>45</v>
      </c>
      <c r="AD57" s="49">
        <v>15</v>
      </c>
      <c r="AE57" s="74">
        <v>13.8</v>
      </c>
      <c r="AF57" s="48">
        <f t="shared" si="7"/>
        <v>1.61592505854801</v>
      </c>
      <c r="AG57" s="75">
        <f t="shared" si="8"/>
        <v>2.7</v>
      </c>
      <c r="AH57" s="45">
        <f t="shared" si="9"/>
        <v>0.31615925058548</v>
      </c>
      <c r="AI57" s="45">
        <f t="shared" si="10"/>
        <v>0.9</v>
      </c>
      <c r="AJ57" s="45">
        <f t="shared" si="11"/>
        <v>0.105386416861827</v>
      </c>
      <c r="AK57" s="48">
        <f t="shared" si="12"/>
        <v>1.4985</v>
      </c>
      <c r="AL57" s="44">
        <v>2.42</v>
      </c>
      <c r="AM57" s="45">
        <f t="shared" si="13"/>
        <v>1.998</v>
      </c>
      <c r="AN57" s="76">
        <v>0</v>
      </c>
      <c r="AO57" s="45"/>
      <c r="AP57" s="46"/>
      <c r="AQ57" s="45">
        <v>0</v>
      </c>
      <c r="AR57" s="51" t="s">
        <v>382</v>
      </c>
      <c r="AS57" s="52" t="s">
        <v>383</v>
      </c>
      <c r="AT57" s="77">
        <v>3926909790</v>
      </c>
      <c r="AU57" s="52" t="s">
        <v>112</v>
      </c>
      <c r="AV57" s="52" t="s">
        <v>384</v>
      </c>
      <c r="AW57" s="52" t="s">
        <v>385</v>
      </c>
      <c r="AX57" s="52" t="s">
        <v>386</v>
      </c>
    </row>
    <row r="58" s="4" customFormat="1" ht="79" customHeight="1" spans="1:50">
      <c r="A58" s="40">
        <v>55</v>
      </c>
      <c r="B58" s="37">
        <v>46175</v>
      </c>
      <c r="C58" s="38" t="s">
        <v>387</v>
      </c>
      <c r="D58" s="39">
        <v>2630764</v>
      </c>
      <c r="E58" s="40" t="s">
        <v>248</v>
      </c>
      <c r="F58" s="78" t="s">
        <v>74</v>
      </c>
      <c r="G58" s="56"/>
      <c r="H58" s="79" t="s">
        <v>249</v>
      </c>
      <c r="I58" s="79"/>
      <c r="J58" s="51" t="s">
        <v>388</v>
      </c>
      <c r="K58" s="51" t="s">
        <v>389</v>
      </c>
      <c r="L58" s="51" t="s">
        <v>390</v>
      </c>
      <c r="M58" s="69">
        <v>6.99</v>
      </c>
      <c r="N58" s="45">
        <f t="shared" si="0"/>
        <v>1.44200117096019</v>
      </c>
      <c r="O58" s="46">
        <f t="shared" si="1"/>
        <v>12.31469</v>
      </c>
      <c r="P58" s="70">
        <f t="shared" si="2"/>
        <v>0.206294874243231</v>
      </c>
      <c r="Q58" s="45">
        <f t="shared" si="3"/>
        <v>1.59188407494145</v>
      </c>
      <c r="R58" s="46">
        <f t="shared" si="4"/>
        <v>13.59469</v>
      </c>
      <c r="S58" s="71">
        <f t="shared" si="5"/>
        <v>0.227737349777032</v>
      </c>
      <c r="T58" s="72" t="s">
        <v>61</v>
      </c>
      <c r="U58" s="72">
        <v>8.54</v>
      </c>
      <c r="V58" s="50">
        <v>0.2</v>
      </c>
      <c r="W58" s="50">
        <v>0.15</v>
      </c>
      <c r="X58" s="44">
        <v>8</v>
      </c>
      <c r="Y58" s="44">
        <v>8</v>
      </c>
      <c r="Z58" s="44">
        <v>4</v>
      </c>
      <c r="AA58" s="73">
        <f t="shared" si="6"/>
        <v>0.0426666666666667</v>
      </c>
      <c r="AB58" s="44">
        <v>0.03</v>
      </c>
      <c r="AC58" s="49">
        <v>45</v>
      </c>
      <c r="AD58" s="49">
        <v>15</v>
      </c>
      <c r="AE58" s="74">
        <v>3.9</v>
      </c>
      <c r="AF58" s="48">
        <f t="shared" si="7"/>
        <v>0.456674473067916</v>
      </c>
      <c r="AG58" s="75">
        <f t="shared" si="8"/>
        <v>1.92</v>
      </c>
      <c r="AH58" s="45">
        <f t="shared" si="9"/>
        <v>0.224824355971897</v>
      </c>
      <c r="AI58" s="45">
        <f t="shared" si="10"/>
        <v>0.64</v>
      </c>
      <c r="AJ58" s="45">
        <f t="shared" si="11"/>
        <v>0.0749414519906323</v>
      </c>
      <c r="AK58" s="48">
        <f t="shared" si="12"/>
        <v>1.0485</v>
      </c>
      <c r="AL58" s="44">
        <v>2.42</v>
      </c>
      <c r="AM58" s="45">
        <f t="shared" si="13"/>
        <v>1.398</v>
      </c>
      <c r="AN58" s="76">
        <v>0</v>
      </c>
      <c r="AO58" s="45"/>
      <c r="AP58" s="46"/>
      <c r="AQ58" s="45">
        <v>0</v>
      </c>
      <c r="AR58" s="51" t="s">
        <v>391</v>
      </c>
      <c r="AS58" s="52" t="s">
        <v>392</v>
      </c>
      <c r="AT58" s="77">
        <v>3926909790</v>
      </c>
      <c r="AU58" s="52" t="s">
        <v>112</v>
      </c>
      <c r="AV58" s="52" t="s">
        <v>234</v>
      </c>
      <c r="AW58" s="52" t="s">
        <v>364</v>
      </c>
      <c r="AX58" s="52"/>
    </row>
    <row r="59" s="4" customFormat="1" ht="79" customHeight="1" spans="1:50">
      <c r="A59" s="40">
        <v>56</v>
      </c>
      <c r="B59" s="37">
        <v>46175</v>
      </c>
      <c r="C59" s="38" t="s">
        <v>393</v>
      </c>
      <c r="D59" s="39">
        <v>2630765</v>
      </c>
      <c r="E59" s="40" t="s">
        <v>248</v>
      </c>
      <c r="F59" s="55" t="s">
        <v>289</v>
      </c>
      <c r="G59" s="56"/>
      <c r="H59" s="57"/>
      <c r="I59" s="79" t="s">
        <v>129</v>
      </c>
      <c r="J59" s="51" t="s">
        <v>394</v>
      </c>
      <c r="K59" s="51"/>
      <c r="L59" s="51"/>
      <c r="M59" s="69">
        <v>7.99</v>
      </c>
      <c r="N59" s="45">
        <f t="shared" si="0"/>
        <v>1.77731733021077</v>
      </c>
      <c r="O59" s="46">
        <f t="shared" si="1"/>
        <v>15.17829</v>
      </c>
      <c r="P59" s="70">
        <f t="shared" si="2"/>
        <v>0.222442719675942</v>
      </c>
      <c r="Q59" s="45">
        <f t="shared" si="3"/>
        <v>2.19886299765808</v>
      </c>
      <c r="R59" s="46">
        <f t="shared" si="4"/>
        <v>18.77829</v>
      </c>
      <c r="S59" s="71">
        <f t="shared" si="5"/>
        <v>0.275201877053577</v>
      </c>
      <c r="T59" s="72" t="s">
        <v>61</v>
      </c>
      <c r="U59" s="72">
        <v>8.54</v>
      </c>
      <c r="V59" s="50">
        <v>0.2</v>
      </c>
      <c r="W59" s="50">
        <v>0.15</v>
      </c>
      <c r="X59" s="44">
        <v>20</v>
      </c>
      <c r="Y59" s="44">
        <v>12</v>
      </c>
      <c r="Z59" s="44">
        <v>2</v>
      </c>
      <c r="AA59" s="73">
        <f t="shared" si="6"/>
        <v>0.08</v>
      </c>
      <c r="AB59" s="44">
        <v>0.12</v>
      </c>
      <c r="AC59" s="49">
        <v>45</v>
      </c>
      <c r="AD59" s="49">
        <v>15</v>
      </c>
      <c r="AE59" s="74">
        <v>9</v>
      </c>
      <c r="AF59" s="48">
        <f t="shared" si="7"/>
        <v>1.05386416861827</v>
      </c>
      <c r="AG59" s="75">
        <f t="shared" si="8"/>
        <v>5.4</v>
      </c>
      <c r="AH59" s="45">
        <f t="shared" si="9"/>
        <v>0.63231850117096</v>
      </c>
      <c r="AI59" s="45">
        <f t="shared" si="10"/>
        <v>1.8</v>
      </c>
      <c r="AJ59" s="45">
        <f t="shared" si="11"/>
        <v>0.210772833723653</v>
      </c>
      <c r="AK59" s="48">
        <f t="shared" si="12"/>
        <v>1.1985</v>
      </c>
      <c r="AL59" s="44">
        <v>1.73</v>
      </c>
      <c r="AM59" s="45">
        <f t="shared" si="13"/>
        <v>1.598</v>
      </c>
      <c r="AN59" s="76">
        <v>0</v>
      </c>
      <c r="AO59" s="45"/>
      <c r="AP59" s="46"/>
      <c r="AQ59" s="45">
        <v>0</v>
      </c>
      <c r="AR59" s="51" t="s">
        <v>395</v>
      </c>
      <c r="AS59" s="52" t="s">
        <v>396</v>
      </c>
      <c r="AT59" s="77">
        <v>4202921100</v>
      </c>
      <c r="AU59" s="52" t="s">
        <v>397</v>
      </c>
      <c r="AV59" s="52" t="s">
        <v>398</v>
      </c>
      <c r="AW59" s="52" t="s">
        <v>399</v>
      </c>
      <c r="AX59" s="52"/>
    </row>
    <row r="60" s="4" customFormat="1" ht="79" customHeight="1" spans="1:50">
      <c r="A60" s="40">
        <v>57</v>
      </c>
      <c r="B60" s="37">
        <v>46175</v>
      </c>
      <c r="C60" s="38" t="s">
        <v>400</v>
      </c>
      <c r="D60" s="39">
        <v>2630766</v>
      </c>
      <c r="E60" s="40" t="s">
        <v>248</v>
      </c>
      <c r="F60" s="55" t="s">
        <v>205</v>
      </c>
      <c r="G60" s="56"/>
      <c r="H60" s="57"/>
      <c r="I60" s="79" t="s">
        <v>129</v>
      </c>
      <c r="J60" s="51" t="s">
        <v>401</v>
      </c>
      <c r="K60" s="51"/>
      <c r="L60" s="51"/>
      <c r="M60" s="69">
        <v>6.99</v>
      </c>
      <c r="N60" s="45">
        <f t="shared" si="0"/>
        <v>2.17092388758782</v>
      </c>
      <c r="O60" s="46">
        <f t="shared" si="1"/>
        <v>18.53969</v>
      </c>
      <c r="P60" s="70">
        <f t="shared" si="2"/>
        <v>0.310575663460346</v>
      </c>
      <c r="Q60" s="45">
        <f t="shared" si="3"/>
        <v>2.45195433255269</v>
      </c>
      <c r="R60" s="46">
        <f t="shared" si="4"/>
        <v>20.93969</v>
      </c>
      <c r="S60" s="71">
        <f t="shared" si="5"/>
        <v>0.350780305086222</v>
      </c>
      <c r="T60" s="72" t="s">
        <v>61</v>
      </c>
      <c r="U60" s="72">
        <v>8.54</v>
      </c>
      <c r="V60" s="50">
        <v>0.2</v>
      </c>
      <c r="W60" s="50">
        <v>0.15</v>
      </c>
      <c r="X60" s="44">
        <v>10</v>
      </c>
      <c r="Y60" s="44">
        <v>10</v>
      </c>
      <c r="Z60" s="44">
        <v>2</v>
      </c>
      <c r="AA60" s="73">
        <f t="shared" si="6"/>
        <v>0.0333333333333333</v>
      </c>
      <c r="AB60" s="44">
        <v>0.08</v>
      </c>
      <c r="AC60" s="49">
        <v>45</v>
      </c>
      <c r="AD60" s="49">
        <v>15</v>
      </c>
      <c r="AE60" s="74">
        <v>2.4</v>
      </c>
      <c r="AF60" s="48">
        <f t="shared" si="7"/>
        <v>0.281030444964871</v>
      </c>
      <c r="AG60" s="75">
        <f t="shared" si="8"/>
        <v>3.6</v>
      </c>
      <c r="AH60" s="45">
        <f t="shared" si="9"/>
        <v>0.421545667447307</v>
      </c>
      <c r="AI60" s="45">
        <f t="shared" si="10"/>
        <v>1.2</v>
      </c>
      <c r="AJ60" s="45">
        <f t="shared" si="11"/>
        <v>0.140515222482436</v>
      </c>
      <c r="AK60" s="48">
        <f t="shared" si="12"/>
        <v>1.0485</v>
      </c>
      <c r="AL60" s="44">
        <v>1.67</v>
      </c>
      <c r="AM60" s="45">
        <f t="shared" si="13"/>
        <v>1.398</v>
      </c>
      <c r="AN60" s="76">
        <v>0</v>
      </c>
      <c r="AO60" s="45"/>
      <c r="AP60" s="46"/>
      <c r="AQ60" s="45">
        <v>0</v>
      </c>
      <c r="AR60" s="51" t="s">
        <v>402</v>
      </c>
      <c r="AS60" s="52" t="s">
        <v>63</v>
      </c>
      <c r="AT60" s="77">
        <v>4419900000</v>
      </c>
      <c r="AU60" s="52" t="s">
        <v>403</v>
      </c>
      <c r="AV60" s="52" t="s">
        <v>404</v>
      </c>
      <c r="AW60" s="52" t="s">
        <v>405</v>
      </c>
      <c r="AX60" s="52" t="s">
        <v>406</v>
      </c>
    </row>
    <row r="61" s="4" customFormat="1" ht="79" customHeight="1" spans="1:50">
      <c r="A61" s="40">
        <v>58</v>
      </c>
      <c r="B61" s="37">
        <v>46175</v>
      </c>
      <c r="C61" s="38" t="s">
        <v>407</v>
      </c>
      <c r="D61" s="39">
        <v>2630767</v>
      </c>
      <c r="E61" s="40" t="s">
        <v>248</v>
      </c>
      <c r="F61" s="55" t="s">
        <v>205</v>
      </c>
      <c r="G61" s="56"/>
      <c r="H61" s="57"/>
      <c r="I61" s="79" t="s">
        <v>129</v>
      </c>
      <c r="J61" s="51" t="s">
        <v>408</v>
      </c>
      <c r="K61" s="51"/>
      <c r="L61" s="51"/>
      <c r="M61" s="69">
        <v>7.99</v>
      </c>
      <c r="N61" s="45">
        <f t="shared" si="0"/>
        <v>1.78317213114754</v>
      </c>
      <c r="O61" s="46">
        <f t="shared" si="1"/>
        <v>15.22829</v>
      </c>
      <c r="P61" s="70">
        <f t="shared" si="2"/>
        <v>0.223175485750631</v>
      </c>
      <c r="Q61" s="45">
        <f t="shared" si="3"/>
        <v>2.23984660421546</v>
      </c>
      <c r="R61" s="46">
        <f t="shared" si="4"/>
        <v>19.12829</v>
      </c>
      <c r="S61" s="71">
        <f t="shared" si="5"/>
        <v>0.280331239576403</v>
      </c>
      <c r="T61" s="72" t="s">
        <v>61</v>
      </c>
      <c r="U61" s="72">
        <v>8.54</v>
      </c>
      <c r="V61" s="50">
        <v>0.2</v>
      </c>
      <c r="W61" s="50">
        <v>0.15</v>
      </c>
      <c r="X61" s="44">
        <v>30</v>
      </c>
      <c r="Y61" s="44">
        <v>25</v>
      </c>
      <c r="Z61" s="44">
        <v>0.3</v>
      </c>
      <c r="AA61" s="73">
        <f t="shared" si="6"/>
        <v>0.0375</v>
      </c>
      <c r="AB61" s="44">
        <v>0.13</v>
      </c>
      <c r="AC61" s="49">
        <v>45</v>
      </c>
      <c r="AD61" s="49">
        <v>15</v>
      </c>
      <c r="AE61" s="74">
        <v>8.5</v>
      </c>
      <c r="AF61" s="48">
        <f t="shared" si="7"/>
        <v>0.995316159250586</v>
      </c>
      <c r="AG61" s="75">
        <f t="shared" si="8"/>
        <v>5.85</v>
      </c>
      <c r="AH61" s="45">
        <f t="shared" si="9"/>
        <v>0.685011709601874</v>
      </c>
      <c r="AI61" s="45">
        <f t="shared" si="10"/>
        <v>1.95</v>
      </c>
      <c r="AJ61" s="45">
        <f t="shared" si="11"/>
        <v>0.228337236533958</v>
      </c>
      <c r="AK61" s="48">
        <f t="shared" si="12"/>
        <v>1.1985</v>
      </c>
      <c r="AL61" s="44">
        <v>1.73</v>
      </c>
      <c r="AM61" s="45">
        <f t="shared" si="13"/>
        <v>1.598</v>
      </c>
      <c r="AN61" s="76">
        <v>0</v>
      </c>
      <c r="AO61" s="45"/>
      <c r="AP61" s="46"/>
      <c r="AQ61" s="45">
        <v>0</v>
      </c>
      <c r="AR61" s="51" t="s">
        <v>402</v>
      </c>
      <c r="AS61" s="52" t="s">
        <v>63</v>
      </c>
      <c r="AT61" s="77">
        <v>3926100000</v>
      </c>
      <c r="AU61" s="52" t="s">
        <v>403</v>
      </c>
      <c r="AV61" s="52" t="s">
        <v>241</v>
      </c>
      <c r="AW61" s="52" t="s">
        <v>242</v>
      </c>
      <c r="AX61" s="52"/>
    </row>
    <row r="62" s="4" customFormat="1" ht="79" customHeight="1" spans="1:50">
      <c r="A62" s="40">
        <v>59</v>
      </c>
      <c r="B62" s="37">
        <v>46175</v>
      </c>
      <c r="C62" s="38" t="s">
        <v>409</v>
      </c>
      <c r="D62" s="39">
        <v>2630768</v>
      </c>
      <c r="E62" s="40" t="s">
        <v>248</v>
      </c>
      <c r="F62" s="78" t="s">
        <v>74</v>
      </c>
      <c r="G62" s="56"/>
      <c r="H62" s="79" t="s">
        <v>410</v>
      </c>
      <c r="I62" s="79" t="s">
        <v>250</v>
      </c>
      <c r="J62" s="51" t="s">
        <v>411</v>
      </c>
      <c r="K62" s="51" t="s">
        <v>412</v>
      </c>
      <c r="L62" s="51" t="s">
        <v>413</v>
      </c>
      <c r="M62" s="69">
        <v>11.99</v>
      </c>
      <c r="N62" s="45">
        <f t="shared" si="0"/>
        <v>2.7546943793911</v>
      </c>
      <c r="O62" s="46">
        <f t="shared" si="1"/>
        <v>23.52509</v>
      </c>
      <c r="P62" s="70">
        <f t="shared" si="2"/>
        <v>0.22974932271819</v>
      </c>
      <c r="Q62" s="45">
        <f t="shared" si="3"/>
        <v>3.47132201405152</v>
      </c>
      <c r="R62" s="46">
        <f t="shared" si="4"/>
        <v>29.64509</v>
      </c>
      <c r="S62" s="71">
        <f t="shared" si="5"/>
        <v>0.289518099587283</v>
      </c>
      <c r="T62" s="72" t="s">
        <v>61</v>
      </c>
      <c r="U62" s="72">
        <v>8.54</v>
      </c>
      <c r="V62" s="50">
        <v>0.2</v>
      </c>
      <c r="W62" s="50">
        <v>0.15</v>
      </c>
      <c r="X62" s="44">
        <v>34</v>
      </c>
      <c r="Y62" s="44">
        <v>12</v>
      </c>
      <c r="Z62" s="44">
        <v>3</v>
      </c>
      <c r="AA62" s="73">
        <f t="shared" si="6"/>
        <v>0.204</v>
      </c>
      <c r="AB62" s="44">
        <v>0.14</v>
      </c>
      <c r="AC62" s="49">
        <v>45</v>
      </c>
      <c r="AD62" s="49">
        <v>15</v>
      </c>
      <c r="AE62" s="74">
        <v>9</v>
      </c>
      <c r="AF62" s="48">
        <f t="shared" si="7"/>
        <v>1.05386416861827</v>
      </c>
      <c r="AG62" s="75">
        <f t="shared" si="8"/>
        <v>9.18</v>
      </c>
      <c r="AH62" s="45">
        <f t="shared" si="9"/>
        <v>1.07494145199063</v>
      </c>
      <c r="AI62" s="45">
        <f t="shared" si="10"/>
        <v>3.06</v>
      </c>
      <c r="AJ62" s="45">
        <f t="shared" si="11"/>
        <v>0.358313817330211</v>
      </c>
      <c r="AK62" s="48">
        <f t="shared" si="12"/>
        <v>1.7985</v>
      </c>
      <c r="AL62" s="44">
        <v>2.91</v>
      </c>
      <c r="AM62" s="45">
        <f t="shared" si="13"/>
        <v>2.398</v>
      </c>
      <c r="AN62" s="76">
        <v>0</v>
      </c>
      <c r="AO62" s="45"/>
      <c r="AP62" s="46"/>
      <c r="AQ62" s="45">
        <v>0</v>
      </c>
      <c r="AR62" s="51" t="s">
        <v>414</v>
      </c>
      <c r="AS62" s="52" t="s">
        <v>415</v>
      </c>
      <c r="AT62" s="77">
        <v>3926909790</v>
      </c>
      <c r="AU62" s="52" t="s">
        <v>112</v>
      </c>
      <c r="AV62" s="52" t="s">
        <v>416</v>
      </c>
      <c r="AW62" s="52" t="s">
        <v>417</v>
      </c>
      <c r="AX62" s="52"/>
    </row>
    <row r="63" s="4" customFormat="1" ht="79" customHeight="1" spans="1:50">
      <c r="A63" s="40">
        <v>60</v>
      </c>
      <c r="B63" s="37">
        <v>46175</v>
      </c>
      <c r="C63" s="38" t="s">
        <v>418</v>
      </c>
      <c r="D63" s="39">
        <v>2630769</v>
      </c>
      <c r="E63" s="40" t="s">
        <v>248</v>
      </c>
      <c r="F63" s="55" t="s">
        <v>205</v>
      </c>
      <c r="G63" s="56"/>
      <c r="H63" s="57"/>
      <c r="I63" s="79" t="s">
        <v>148</v>
      </c>
      <c r="J63" s="51" t="s">
        <v>419</v>
      </c>
      <c r="K63" s="51"/>
      <c r="L63" s="51"/>
      <c r="M63" s="69">
        <v>5.99</v>
      </c>
      <c r="N63" s="45">
        <f t="shared" si="0"/>
        <v>1.68263348946136</v>
      </c>
      <c r="O63" s="46">
        <f t="shared" si="1"/>
        <v>14.36969</v>
      </c>
      <c r="P63" s="70">
        <f t="shared" si="2"/>
        <v>0.280907093399225</v>
      </c>
      <c r="Q63" s="45">
        <f t="shared" si="3"/>
        <v>1.89340632318501</v>
      </c>
      <c r="R63" s="46">
        <f t="shared" si="4"/>
        <v>16.16969</v>
      </c>
      <c r="S63" s="71">
        <f t="shared" si="5"/>
        <v>0.316094544772122</v>
      </c>
      <c r="T63" s="72" t="s">
        <v>61</v>
      </c>
      <c r="U63" s="72">
        <v>8.54</v>
      </c>
      <c r="V63" s="50">
        <v>0.2</v>
      </c>
      <c r="W63" s="50">
        <v>0.15</v>
      </c>
      <c r="X63" s="44">
        <v>10</v>
      </c>
      <c r="Y63" s="44">
        <v>10</v>
      </c>
      <c r="Z63" s="44">
        <v>2</v>
      </c>
      <c r="AA63" s="73">
        <f t="shared" si="6"/>
        <v>0.0333333333333333</v>
      </c>
      <c r="AB63" s="44">
        <v>0.06</v>
      </c>
      <c r="AC63" s="49">
        <v>45</v>
      </c>
      <c r="AD63" s="49">
        <v>15</v>
      </c>
      <c r="AE63" s="74">
        <v>3.2</v>
      </c>
      <c r="AF63" s="48">
        <f t="shared" si="7"/>
        <v>0.374707259953162</v>
      </c>
      <c r="AG63" s="75">
        <f t="shared" si="8"/>
        <v>2.7</v>
      </c>
      <c r="AH63" s="45">
        <f t="shared" si="9"/>
        <v>0.31615925058548</v>
      </c>
      <c r="AI63" s="45">
        <f t="shared" si="10"/>
        <v>0.9</v>
      </c>
      <c r="AJ63" s="45">
        <f t="shared" si="11"/>
        <v>0.105386416861827</v>
      </c>
      <c r="AK63" s="48">
        <f t="shared" si="12"/>
        <v>0.8985</v>
      </c>
      <c r="AL63" s="44">
        <v>1.52</v>
      </c>
      <c r="AM63" s="45">
        <f t="shared" si="13"/>
        <v>1.198</v>
      </c>
      <c r="AN63" s="76">
        <v>0</v>
      </c>
      <c r="AO63" s="45"/>
      <c r="AP63" s="46"/>
      <c r="AQ63" s="45">
        <v>0</v>
      </c>
      <c r="AR63" s="51" t="s">
        <v>420</v>
      </c>
      <c r="AS63" s="52" t="s">
        <v>63</v>
      </c>
      <c r="AT63" s="77">
        <v>3307900000</v>
      </c>
      <c r="AU63" s="52" t="s">
        <v>112</v>
      </c>
      <c r="AV63" s="52" t="s">
        <v>421</v>
      </c>
      <c r="AW63" s="52" t="s">
        <v>422</v>
      </c>
      <c r="AX63" s="52"/>
    </row>
    <row r="64" s="4" customFormat="1" ht="79" customHeight="1" spans="1:50">
      <c r="A64" s="40">
        <v>61</v>
      </c>
      <c r="B64" s="37">
        <v>46175</v>
      </c>
      <c r="C64" s="38" t="s">
        <v>423</v>
      </c>
      <c r="D64" s="39">
        <v>2630770</v>
      </c>
      <c r="E64" s="40" t="s">
        <v>248</v>
      </c>
      <c r="F64" s="104" t="s">
        <v>424</v>
      </c>
      <c r="G64" s="56"/>
      <c r="H64" s="79" t="s">
        <v>425</v>
      </c>
      <c r="I64" s="79" t="s">
        <v>250</v>
      </c>
      <c r="J64" s="51" t="s">
        <v>426</v>
      </c>
      <c r="K64" s="51"/>
      <c r="L64" s="51"/>
      <c r="M64" s="69">
        <v>5.99</v>
      </c>
      <c r="N64" s="45">
        <f t="shared" si="0"/>
        <v>1.68263348946136</v>
      </c>
      <c r="O64" s="46">
        <f t="shared" si="1"/>
        <v>14.36969</v>
      </c>
      <c r="P64" s="70">
        <f t="shared" si="2"/>
        <v>0.280907093399225</v>
      </c>
      <c r="Q64" s="45">
        <f t="shared" si="3"/>
        <v>1.89340632318501</v>
      </c>
      <c r="R64" s="46">
        <f t="shared" si="4"/>
        <v>16.16969</v>
      </c>
      <c r="S64" s="71">
        <f t="shared" si="5"/>
        <v>0.316094544772122</v>
      </c>
      <c r="T64" s="72" t="s">
        <v>61</v>
      </c>
      <c r="U64" s="72">
        <v>8.54</v>
      </c>
      <c r="V64" s="50">
        <v>0.2</v>
      </c>
      <c r="W64" s="50">
        <v>0.15</v>
      </c>
      <c r="X64" s="44">
        <v>10</v>
      </c>
      <c r="Y64" s="44">
        <v>10</v>
      </c>
      <c r="Z64" s="44">
        <v>2</v>
      </c>
      <c r="AA64" s="73">
        <f t="shared" si="6"/>
        <v>0.0333333333333333</v>
      </c>
      <c r="AB64" s="44">
        <v>0.06</v>
      </c>
      <c r="AC64" s="49">
        <v>45</v>
      </c>
      <c r="AD64" s="49">
        <v>15</v>
      </c>
      <c r="AE64" s="74">
        <v>3.2</v>
      </c>
      <c r="AF64" s="48">
        <f t="shared" si="7"/>
        <v>0.374707259953162</v>
      </c>
      <c r="AG64" s="75">
        <f t="shared" si="8"/>
        <v>2.7</v>
      </c>
      <c r="AH64" s="45">
        <f t="shared" si="9"/>
        <v>0.31615925058548</v>
      </c>
      <c r="AI64" s="45">
        <f t="shared" si="10"/>
        <v>0.9</v>
      </c>
      <c r="AJ64" s="45">
        <f t="shared" si="11"/>
        <v>0.105386416861827</v>
      </c>
      <c r="AK64" s="48">
        <f t="shared" si="12"/>
        <v>0.8985</v>
      </c>
      <c r="AL64" s="44">
        <v>1.52</v>
      </c>
      <c r="AM64" s="45">
        <f t="shared" si="13"/>
        <v>1.198</v>
      </c>
      <c r="AN64" s="76">
        <v>0</v>
      </c>
      <c r="AO64" s="45"/>
      <c r="AP64" s="46"/>
      <c r="AQ64" s="45">
        <v>0</v>
      </c>
      <c r="AR64" s="51" t="s">
        <v>420</v>
      </c>
      <c r="AS64" s="52" t="s">
        <v>63</v>
      </c>
      <c r="AT64" s="77">
        <v>3307900000</v>
      </c>
      <c r="AU64" s="52" t="s">
        <v>112</v>
      </c>
      <c r="AV64" s="52" t="s">
        <v>421</v>
      </c>
      <c r="AW64" s="52" t="s">
        <v>422</v>
      </c>
      <c r="AX64" s="52"/>
    </row>
    <row r="65" s="4" customFormat="1" ht="79" customHeight="1" spans="1:50">
      <c r="A65" s="40">
        <v>62</v>
      </c>
      <c r="B65" s="37">
        <v>46175</v>
      </c>
      <c r="C65" s="38" t="s">
        <v>427</v>
      </c>
      <c r="D65" s="39">
        <v>2620746</v>
      </c>
      <c r="E65" s="40" t="s">
        <v>428</v>
      </c>
      <c r="F65" s="78" t="s">
        <v>74</v>
      </c>
      <c r="G65" s="56"/>
      <c r="H65" s="57" t="s">
        <v>429</v>
      </c>
      <c r="I65" s="79"/>
      <c r="J65" s="51" t="s">
        <v>430</v>
      </c>
      <c r="K65" s="51"/>
      <c r="L65" s="51"/>
      <c r="M65" s="69">
        <v>5.99</v>
      </c>
      <c r="N65" s="45">
        <f t="shared" si="0"/>
        <v>1.35476463700234</v>
      </c>
      <c r="O65" s="46">
        <f t="shared" si="1"/>
        <v>11.56969</v>
      </c>
      <c r="P65" s="70">
        <f t="shared" si="2"/>
        <v>0.226171057930274</v>
      </c>
      <c r="Q65" s="45">
        <f t="shared" si="3"/>
        <v>1.565537470726</v>
      </c>
      <c r="R65" s="46">
        <f t="shared" si="4"/>
        <v>13.36969</v>
      </c>
      <c r="S65" s="71">
        <f t="shared" si="5"/>
        <v>0.261358509303171</v>
      </c>
      <c r="T65" s="72" t="s">
        <v>61</v>
      </c>
      <c r="U65" s="72">
        <v>8.54</v>
      </c>
      <c r="V65" s="50">
        <v>0.2</v>
      </c>
      <c r="W65" s="50">
        <v>0.15</v>
      </c>
      <c r="X65" s="44">
        <v>10</v>
      </c>
      <c r="Y65" s="44">
        <v>10</v>
      </c>
      <c r="Z65" s="44">
        <v>1.8</v>
      </c>
      <c r="AA65" s="73">
        <f t="shared" si="6"/>
        <v>0.03</v>
      </c>
      <c r="AB65" s="44">
        <v>0.06</v>
      </c>
      <c r="AC65" s="49">
        <v>45</v>
      </c>
      <c r="AD65" s="49">
        <v>15</v>
      </c>
      <c r="AE65" s="74">
        <v>6</v>
      </c>
      <c r="AF65" s="48">
        <f t="shared" si="7"/>
        <v>0.702576112412178</v>
      </c>
      <c r="AG65" s="75">
        <f t="shared" si="8"/>
        <v>2.7</v>
      </c>
      <c r="AH65" s="45">
        <f t="shared" si="9"/>
        <v>0.31615925058548</v>
      </c>
      <c r="AI65" s="45">
        <f t="shared" si="10"/>
        <v>0.9</v>
      </c>
      <c r="AJ65" s="45">
        <f t="shared" si="11"/>
        <v>0.105386416861827</v>
      </c>
      <c r="AK65" s="48">
        <f t="shared" si="12"/>
        <v>0.8985</v>
      </c>
      <c r="AL65" s="44">
        <v>1.52</v>
      </c>
      <c r="AM65" s="45">
        <f t="shared" si="13"/>
        <v>1.198</v>
      </c>
      <c r="AN65" s="76">
        <v>0</v>
      </c>
      <c r="AO65" s="45"/>
      <c r="AP65" s="46"/>
      <c r="AQ65" s="45">
        <v>0</v>
      </c>
      <c r="AR65" s="51" t="s">
        <v>431</v>
      </c>
      <c r="AS65" s="52" t="s">
        <v>63</v>
      </c>
      <c r="AT65" s="77" t="s">
        <v>432</v>
      </c>
      <c r="AU65" s="52" t="s">
        <v>403</v>
      </c>
      <c r="AV65" s="52" t="s">
        <v>433</v>
      </c>
      <c r="AW65" s="52" t="s">
        <v>434</v>
      </c>
      <c r="AX65" s="52"/>
    </row>
    <row r="66" s="4" customFormat="1" ht="79" customHeight="1" spans="1:50">
      <c r="A66" s="40">
        <v>63</v>
      </c>
      <c r="B66" s="37">
        <v>46175</v>
      </c>
      <c r="C66" s="38" t="s">
        <v>435</v>
      </c>
      <c r="D66" s="39">
        <v>2620747</v>
      </c>
      <c r="E66" s="40" t="s">
        <v>428</v>
      </c>
      <c r="F66" s="78" t="s">
        <v>205</v>
      </c>
      <c r="G66" s="56"/>
      <c r="H66" s="79" t="s">
        <v>436</v>
      </c>
      <c r="I66" s="79" t="s">
        <v>148</v>
      </c>
      <c r="J66" s="51" t="s">
        <v>437</v>
      </c>
      <c r="K66" s="51" t="s">
        <v>438</v>
      </c>
      <c r="L66" s="51" t="s">
        <v>439</v>
      </c>
      <c r="M66" s="69">
        <v>5.99</v>
      </c>
      <c r="N66" s="45">
        <f t="shared" si="0"/>
        <v>1.68263348946136</v>
      </c>
      <c r="O66" s="46">
        <f t="shared" si="1"/>
        <v>14.36969</v>
      </c>
      <c r="P66" s="70">
        <f t="shared" si="2"/>
        <v>0.280907093399225</v>
      </c>
      <c r="Q66" s="45">
        <f t="shared" si="3"/>
        <v>1.89340632318501</v>
      </c>
      <c r="R66" s="46">
        <f t="shared" si="4"/>
        <v>16.16969</v>
      </c>
      <c r="S66" s="71">
        <f t="shared" si="5"/>
        <v>0.316094544772122</v>
      </c>
      <c r="T66" s="72" t="s">
        <v>61</v>
      </c>
      <c r="U66" s="72">
        <v>8.54</v>
      </c>
      <c r="V66" s="50">
        <v>0.2</v>
      </c>
      <c r="W66" s="50">
        <v>0.15</v>
      </c>
      <c r="X66" s="44">
        <v>12</v>
      </c>
      <c r="Y66" s="44">
        <v>12</v>
      </c>
      <c r="Z66" s="44">
        <v>2</v>
      </c>
      <c r="AA66" s="73">
        <f t="shared" si="6"/>
        <v>0.048</v>
      </c>
      <c r="AB66" s="44">
        <v>0.06</v>
      </c>
      <c r="AC66" s="49">
        <v>45</v>
      </c>
      <c r="AD66" s="49">
        <v>15</v>
      </c>
      <c r="AE66" s="74">
        <v>3.2</v>
      </c>
      <c r="AF66" s="48">
        <f t="shared" si="7"/>
        <v>0.374707259953162</v>
      </c>
      <c r="AG66" s="75">
        <f t="shared" si="8"/>
        <v>2.7</v>
      </c>
      <c r="AH66" s="45">
        <f t="shared" si="9"/>
        <v>0.31615925058548</v>
      </c>
      <c r="AI66" s="45">
        <f t="shared" si="10"/>
        <v>0.9</v>
      </c>
      <c r="AJ66" s="45">
        <f t="shared" si="11"/>
        <v>0.105386416861827</v>
      </c>
      <c r="AK66" s="48">
        <f t="shared" si="12"/>
        <v>0.8985</v>
      </c>
      <c r="AL66" s="44">
        <v>1.52</v>
      </c>
      <c r="AM66" s="45">
        <f t="shared" si="13"/>
        <v>1.198</v>
      </c>
      <c r="AN66" s="76">
        <v>0</v>
      </c>
      <c r="AO66" s="45"/>
      <c r="AP66" s="46"/>
      <c r="AQ66" s="45">
        <v>0</v>
      </c>
      <c r="AR66" s="51" t="s">
        <v>431</v>
      </c>
      <c r="AS66" s="52" t="s">
        <v>63</v>
      </c>
      <c r="AT66" s="77">
        <v>3926909790</v>
      </c>
      <c r="AU66" s="52" t="s">
        <v>64</v>
      </c>
      <c r="AV66" s="52" t="s">
        <v>440</v>
      </c>
      <c r="AW66" s="52" t="s">
        <v>441</v>
      </c>
      <c r="AX66" s="52" t="s">
        <v>442</v>
      </c>
    </row>
    <row r="67" s="4" customFormat="1" ht="79" customHeight="1" spans="1:50">
      <c r="A67" s="40">
        <v>64</v>
      </c>
      <c r="B67" s="37">
        <v>46175</v>
      </c>
      <c r="C67" s="38" t="s">
        <v>443</v>
      </c>
      <c r="D67" s="39">
        <v>2620748</v>
      </c>
      <c r="E67" s="40" t="s">
        <v>428</v>
      </c>
      <c r="F67" s="78" t="s">
        <v>69</v>
      </c>
      <c r="G67" s="56"/>
      <c r="H67" s="79" t="s">
        <v>444</v>
      </c>
      <c r="I67" s="79"/>
      <c r="J67" s="51" t="s">
        <v>445</v>
      </c>
      <c r="K67" s="51"/>
      <c r="L67" s="51" t="s">
        <v>446</v>
      </c>
      <c r="M67" s="69">
        <v>5.99</v>
      </c>
      <c r="N67" s="45">
        <f t="shared" si="0"/>
        <v>1.32666159250585</v>
      </c>
      <c r="O67" s="46">
        <f t="shared" si="1"/>
        <v>11.32969</v>
      </c>
      <c r="P67" s="70">
        <f t="shared" si="2"/>
        <v>0.221479397747221</v>
      </c>
      <c r="Q67" s="45">
        <f t="shared" si="3"/>
        <v>1.50933138173302</v>
      </c>
      <c r="R67" s="46">
        <f t="shared" si="4"/>
        <v>12.88969</v>
      </c>
      <c r="S67" s="71">
        <f t="shared" si="5"/>
        <v>0.251975188937065</v>
      </c>
      <c r="T67" s="72" t="s">
        <v>61</v>
      </c>
      <c r="U67" s="72">
        <v>8.54</v>
      </c>
      <c r="V67" s="50">
        <v>0.2</v>
      </c>
      <c r="W67" s="50">
        <v>0.15</v>
      </c>
      <c r="X67" s="44">
        <v>14</v>
      </c>
      <c r="Y67" s="44">
        <v>8</v>
      </c>
      <c r="Z67" s="44">
        <v>1</v>
      </c>
      <c r="AA67" s="73">
        <f t="shared" si="6"/>
        <v>0.0186666666666667</v>
      </c>
      <c r="AB67" s="44">
        <v>0.052</v>
      </c>
      <c r="AC67" s="49">
        <v>45</v>
      </c>
      <c r="AD67" s="49">
        <v>15</v>
      </c>
      <c r="AE67" s="74">
        <v>6.6</v>
      </c>
      <c r="AF67" s="48">
        <f t="shared" si="7"/>
        <v>0.772833723653396</v>
      </c>
      <c r="AG67" s="75">
        <f t="shared" si="8"/>
        <v>2.34</v>
      </c>
      <c r="AH67" s="45">
        <f t="shared" si="9"/>
        <v>0.274004683840749</v>
      </c>
      <c r="AI67" s="45">
        <f t="shared" si="10"/>
        <v>0.78</v>
      </c>
      <c r="AJ67" s="45">
        <f t="shared" si="11"/>
        <v>0.0913348946135831</v>
      </c>
      <c r="AK67" s="48">
        <f t="shared" si="12"/>
        <v>0.8985</v>
      </c>
      <c r="AL67" s="44">
        <v>1.52</v>
      </c>
      <c r="AM67" s="45">
        <f t="shared" si="13"/>
        <v>1.198</v>
      </c>
      <c r="AN67" s="76">
        <v>0</v>
      </c>
      <c r="AO67" s="45"/>
      <c r="AP67" s="46"/>
      <c r="AQ67" s="45">
        <v>0</v>
      </c>
      <c r="AR67" s="51" t="s">
        <v>447</v>
      </c>
      <c r="AS67" s="52" t="s">
        <v>448</v>
      </c>
      <c r="AT67" s="77">
        <v>9505900000</v>
      </c>
      <c r="AU67" s="52" t="s">
        <v>449</v>
      </c>
      <c r="AV67" s="52" t="s">
        <v>416</v>
      </c>
      <c r="AW67" s="52" t="s">
        <v>450</v>
      </c>
      <c r="AX67" s="52"/>
    </row>
    <row r="68" s="4" customFormat="1" ht="79" customHeight="1" spans="1:50">
      <c r="A68" s="40">
        <v>65</v>
      </c>
      <c r="B68" s="37">
        <v>46175</v>
      </c>
      <c r="C68" s="38" t="s">
        <v>451</v>
      </c>
      <c r="D68" s="39">
        <v>2620749</v>
      </c>
      <c r="E68" s="40" t="s">
        <v>428</v>
      </c>
      <c r="F68" s="55" t="s">
        <v>205</v>
      </c>
      <c r="G68" s="56"/>
      <c r="H68" s="57" t="s">
        <v>452</v>
      </c>
      <c r="I68" s="79" t="s">
        <v>129</v>
      </c>
      <c r="J68" s="51" t="s">
        <v>453</v>
      </c>
      <c r="K68" s="51"/>
      <c r="L68" s="51"/>
      <c r="M68" s="69">
        <v>9.99</v>
      </c>
      <c r="N68" s="45">
        <f t="shared" si="0"/>
        <v>2.05858196721311</v>
      </c>
      <c r="O68" s="46">
        <f t="shared" si="1"/>
        <v>17.58029</v>
      </c>
      <c r="P68" s="70">
        <f t="shared" si="2"/>
        <v>0.206064260982294</v>
      </c>
      <c r="Q68" s="45">
        <f t="shared" si="3"/>
        <v>2.55038524590164</v>
      </c>
      <c r="R68" s="46">
        <f t="shared" si="4"/>
        <v>21.78029</v>
      </c>
      <c r="S68" s="71">
        <f t="shared" si="5"/>
        <v>0.255293818408573</v>
      </c>
      <c r="T68" s="72" t="s">
        <v>61</v>
      </c>
      <c r="U68" s="72">
        <v>8.54</v>
      </c>
      <c r="V68" s="50">
        <v>0.2</v>
      </c>
      <c r="W68" s="50">
        <v>0.15</v>
      </c>
      <c r="X68" s="44">
        <v>16</v>
      </c>
      <c r="Y68" s="44">
        <v>20</v>
      </c>
      <c r="Z68" s="44">
        <v>2</v>
      </c>
      <c r="AA68" s="73">
        <f t="shared" si="6"/>
        <v>0.106666666666667</v>
      </c>
      <c r="AB68" s="44">
        <v>0.14</v>
      </c>
      <c r="AC68" s="49">
        <v>45</v>
      </c>
      <c r="AD68" s="49">
        <v>15</v>
      </c>
      <c r="AE68" s="74">
        <v>16.8</v>
      </c>
      <c r="AF68" s="48">
        <f t="shared" si="7"/>
        <v>1.9672131147541</v>
      </c>
      <c r="AG68" s="75">
        <f t="shared" si="8"/>
        <v>6.3</v>
      </c>
      <c r="AH68" s="45">
        <f t="shared" si="9"/>
        <v>0.737704918032787</v>
      </c>
      <c r="AI68" s="45">
        <f t="shared" si="10"/>
        <v>2.1</v>
      </c>
      <c r="AJ68" s="45">
        <f t="shared" si="11"/>
        <v>0.245901639344262</v>
      </c>
      <c r="AK68" s="48">
        <f t="shared" si="12"/>
        <v>1.4985</v>
      </c>
      <c r="AL68" s="44">
        <v>1.73</v>
      </c>
      <c r="AM68" s="45">
        <f t="shared" si="13"/>
        <v>1.998</v>
      </c>
      <c r="AN68" s="76">
        <v>0</v>
      </c>
      <c r="AO68" s="45"/>
      <c r="AP68" s="46"/>
      <c r="AQ68" s="45">
        <v>0</v>
      </c>
      <c r="AR68" s="51" t="s">
        <v>454</v>
      </c>
      <c r="AS68" s="52" t="s">
        <v>455</v>
      </c>
      <c r="AT68" s="77">
        <v>9505900000</v>
      </c>
      <c r="AU68" s="52" t="s">
        <v>112</v>
      </c>
      <c r="AV68" s="52" t="s">
        <v>456</v>
      </c>
      <c r="AW68" s="52" t="s">
        <v>457</v>
      </c>
      <c r="AX68" s="52"/>
    </row>
    <row r="69" s="4" customFormat="1" ht="79" customHeight="1" spans="1:50">
      <c r="A69" s="40">
        <v>66</v>
      </c>
      <c r="B69" s="37">
        <v>46175</v>
      </c>
      <c r="C69" s="38" t="s">
        <v>458</v>
      </c>
      <c r="D69" s="39">
        <v>2620750</v>
      </c>
      <c r="E69" s="40" t="s">
        <v>428</v>
      </c>
      <c r="F69" s="78" t="s">
        <v>69</v>
      </c>
      <c r="G69" s="56"/>
      <c r="H69" s="79" t="s">
        <v>459</v>
      </c>
      <c r="I69" s="79"/>
      <c r="J69" s="51" t="s">
        <v>460</v>
      </c>
      <c r="K69" s="51"/>
      <c r="L69" s="51" t="s">
        <v>461</v>
      </c>
      <c r="M69" s="69">
        <v>8.99</v>
      </c>
      <c r="N69" s="45">
        <f t="shared" si="0"/>
        <v>2.22970608899297</v>
      </c>
      <c r="O69" s="46">
        <f t="shared" si="1"/>
        <v>19.04169</v>
      </c>
      <c r="P69" s="70">
        <f t="shared" si="2"/>
        <v>0.24802069955428</v>
      </c>
      <c r="Q69" s="45">
        <f t="shared" si="3"/>
        <v>2.51073653395785</v>
      </c>
      <c r="R69" s="46">
        <f t="shared" si="4"/>
        <v>21.44169</v>
      </c>
      <c r="S69" s="71">
        <f t="shared" si="5"/>
        <v>0.27928103826005</v>
      </c>
      <c r="T69" s="72" t="s">
        <v>61</v>
      </c>
      <c r="U69" s="72">
        <v>8.54</v>
      </c>
      <c r="V69" s="50">
        <v>0.2</v>
      </c>
      <c r="W69" s="50">
        <v>0.15</v>
      </c>
      <c r="X69" s="44">
        <v>20</v>
      </c>
      <c r="Y69" s="44">
        <v>16</v>
      </c>
      <c r="Z69" s="44">
        <v>1.5</v>
      </c>
      <c r="AA69" s="73">
        <f t="shared" si="6"/>
        <v>0.08</v>
      </c>
      <c r="AB69" s="44">
        <v>0.08</v>
      </c>
      <c r="AC69" s="49">
        <v>45</v>
      </c>
      <c r="AD69" s="49">
        <v>15</v>
      </c>
      <c r="AE69" s="74">
        <v>13</v>
      </c>
      <c r="AF69" s="48">
        <f t="shared" si="7"/>
        <v>1.52224824355972</v>
      </c>
      <c r="AG69" s="75">
        <f t="shared" si="8"/>
        <v>3.6</v>
      </c>
      <c r="AH69" s="45">
        <f t="shared" si="9"/>
        <v>0.421545667447307</v>
      </c>
      <c r="AI69" s="45">
        <f t="shared" si="10"/>
        <v>1.2</v>
      </c>
      <c r="AJ69" s="45">
        <f t="shared" si="11"/>
        <v>0.140515222482436</v>
      </c>
      <c r="AK69" s="48">
        <f t="shared" si="12"/>
        <v>1.3485</v>
      </c>
      <c r="AL69" s="44">
        <v>1.67</v>
      </c>
      <c r="AM69" s="45">
        <f t="shared" si="13"/>
        <v>1.798</v>
      </c>
      <c r="AN69" s="76">
        <v>0</v>
      </c>
      <c r="AO69" s="45"/>
      <c r="AP69" s="46"/>
      <c r="AQ69" s="45">
        <v>0</v>
      </c>
      <c r="AR69" s="51" t="s">
        <v>462</v>
      </c>
      <c r="AS69" s="52" t="s">
        <v>463</v>
      </c>
      <c r="AT69" s="77" t="s">
        <v>432</v>
      </c>
      <c r="AU69" s="52" t="s">
        <v>403</v>
      </c>
      <c r="AV69" s="52" t="s">
        <v>464</v>
      </c>
      <c r="AW69" s="52" t="s">
        <v>465</v>
      </c>
      <c r="AX69" s="52"/>
    </row>
    <row r="70" s="4" customFormat="1" ht="79" customHeight="1" spans="1:50">
      <c r="A70" s="40">
        <v>67</v>
      </c>
      <c r="B70" s="37">
        <v>46175</v>
      </c>
      <c r="C70" s="38" t="s">
        <v>466</v>
      </c>
      <c r="D70" s="39">
        <v>2620751</v>
      </c>
      <c r="E70" s="40" t="s">
        <v>428</v>
      </c>
      <c r="F70" s="104" t="s">
        <v>279</v>
      </c>
      <c r="G70" s="56"/>
      <c r="H70" s="57" t="s">
        <v>467</v>
      </c>
      <c r="I70" s="79" t="s">
        <v>468</v>
      </c>
      <c r="J70" s="51" t="s">
        <v>469</v>
      </c>
      <c r="K70" s="51" t="s">
        <v>470</v>
      </c>
      <c r="L70" s="51" t="s">
        <v>471</v>
      </c>
      <c r="M70" s="69">
        <v>9.99</v>
      </c>
      <c r="N70" s="45">
        <f t="shared" si="0"/>
        <v>1.94410889929742</v>
      </c>
      <c r="O70" s="46">
        <f t="shared" si="1"/>
        <v>16.60269</v>
      </c>
      <c r="P70" s="70">
        <f t="shared" si="2"/>
        <v>0.194605495425168</v>
      </c>
      <c r="Q70" s="45">
        <f t="shared" si="3"/>
        <v>2.2602681498829</v>
      </c>
      <c r="R70" s="46">
        <f t="shared" si="4"/>
        <v>19.30269</v>
      </c>
      <c r="S70" s="71">
        <f t="shared" si="5"/>
        <v>0.226253068056347</v>
      </c>
      <c r="T70" s="72" t="s">
        <v>61</v>
      </c>
      <c r="U70" s="72">
        <v>8.54</v>
      </c>
      <c r="V70" s="50">
        <v>0.2</v>
      </c>
      <c r="W70" s="50">
        <v>0.15</v>
      </c>
      <c r="X70" s="44">
        <v>7.5</v>
      </c>
      <c r="Y70" s="44">
        <v>7.5</v>
      </c>
      <c r="Z70" s="44">
        <v>7.5</v>
      </c>
      <c r="AA70" s="73">
        <f t="shared" si="6"/>
        <v>0.0703125</v>
      </c>
      <c r="AB70" s="44">
        <v>0.09</v>
      </c>
      <c r="AC70" s="49">
        <v>45</v>
      </c>
      <c r="AD70" s="49">
        <v>15</v>
      </c>
      <c r="AE70" s="74">
        <v>12</v>
      </c>
      <c r="AF70" s="48">
        <f t="shared" si="7"/>
        <v>1.40515222482436</v>
      </c>
      <c r="AG70" s="75">
        <f t="shared" si="8"/>
        <v>4.05</v>
      </c>
      <c r="AH70" s="45">
        <f t="shared" si="9"/>
        <v>0.47423887587822</v>
      </c>
      <c r="AI70" s="45">
        <f t="shared" si="10"/>
        <v>1.35</v>
      </c>
      <c r="AJ70" s="45">
        <f t="shared" si="11"/>
        <v>0.15807962529274</v>
      </c>
      <c r="AK70" s="48">
        <f t="shared" si="12"/>
        <v>1.4985</v>
      </c>
      <c r="AL70" s="44">
        <v>2.67</v>
      </c>
      <c r="AM70" s="45">
        <f t="shared" si="13"/>
        <v>1.998</v>
      </c>
      <c r="AN70" s="76">
        <v>0</v>
      </c>
      <c r="AO70" s="45"/>
      <c r="AP70" s="46"/>
      <c r="AQ70" s="45">
        <v>0</v>
      </c>
      <c r="AR70" s="51" t="s">
        <v>472</v>
      </c>
      <c r="AS70" s="52" t="s">
        <v>473</v>
      </c>
      <c r="AT70" s="77">
        <v>3926909790</v>
      </c>
      <c r="AU70" s="52" t="s">
        <v>112</v>
      </c>
      <c r="AV70" s="52" t="s">
        <v>225</v>
      </c>
      <c r="AW70" s="52" t="s">
        <v>474</v>
      </c>
      <c r="AX70" s="52"/>
    </row>
    <row r="71" s="4" customFormat="1" ht="79" customHeight="1" spans="1:50">
      <c r="A71" s="40">
        <v>68</v>
      </c>
      <c r="B71" s="37">
        <v>46175</v>
      </c>
      <c r="C71" s="38" t="s">
        <v>475</v>
      </c>
      <c r="D71" s="39">
        <v>2620752</v>
      </c>
      <c r="E71" s="40" t="s">
        <v>428</v>
      </c>
      <c r="F71" s="78" t="s">
        <v>69</v>
      </c>
      <c r="G71" s="56"/>
      <c r="H71" s="57" t="s">
        <v>476</v>
      </c>
      <c r="I71" s="79" t="s">
        <v>468</v>
      </c>
      <c r="J71" s="51" t="s">
        <v>477</v>
      </c>
      <c r="K71" s="51" t="s">
        <v>478</v>
      </c>
      <c r="L71" s="51" t="s">
        <v>479</v>
      </c>
      <c r="M71" s="69">
        <v>9.99</v>
      </c>
      <c r="N71" s="45">
        <f t="shared" si="0"/>
        <v>1.94410889929742</v>
      </c>
      <c r="O71" s="46">
        <f t="shared" si="1"/>
        <v>16.60269</v>
      </c>
      <c r="P71" s="70">
        <f t="shared" si="2"/>
        <v>0.194605495425168</v>
      </c>
      <c r="Q71" s="45">
        <f t="shared" si="3"/>
        <v>2.2602681498829</v>
      </c>
      <c r="R71" s="46">
        <f t="shared" si="4"/>
        <v>19.30269</v>
      </c>
      <c r="S71" s="71">
        <f t="shared" si="5"/>
        <v>0.226253068056347</v>
      </c>
      <c r="T71" s="72" t="s">
        <v>61</v>
      </c>
      <c r="U71" s="72">
        <v>8.54</v>
      </c>
      <c r="V71" s="50">
        <v>0.2</v>
      </c>
      <c r="W71" s="50">
        <v>0.15</v>
      </c>
      <c r="X71" s="44">
        <v>7.5</v>
      </c>
      <c r="Y71" s="44">
        <v>7.5</v>
      </c>
      <c r="Z71" s="44">
        <v>7.5</v>
      </c>
      <c r="AA71" s="73">
        <f t="shared" si="6"/>
        <v>0.0703125</v>
      </c>
      <c r="AB71" s="44">
        <v>0.09</v>
      </c>
      <c r="AC71" s="49">
        <v>45</v>
      </c>
      <c r="AD71" s="49">
        <v>15</v>
      </c>
      <c r="AE71" s="74">
        <v>12</v>
      </c>
      <c r="AF71" s="48">
        <f t="shared" si="7"/>
        <v>1.40515222482436</v>
      </c>
      <c r="AG71" s="75">
        <f t="shared" si="8"/>
        <v>4.05</v>
      </c>
      <c r="AH71" s="45">
        <f t="shared" si="9"/>
        <v>0.47423887587822</v>
      </c>
      <c r="AI71" s="45">
        <f t="shared" si="10"/>
        <v>1.35</v>
      </c>
      <c r="AJ71" s="45">
        <f t="shared" si="11"/>
        <v>0.15807962529274</v>
      </c>
      <c r="AK71" s="48">
        <f t="shared" si="12"/>
        <v>1.4985</v>
      </c>
      <c r="AL71" s="44">
        <v>2.67</v>
      </c>
      <c r="AM71" s="45">
        <f t="shared" si="13"/>
        <v>1.998</v>
      </c>
      <c r="AN71" s="76">
        <v>0</v>
      </c>
      <c r="AO71" s="45"/>
      <c r="AP71" s="46"/>
      <c r="AQ71" s="45">
        <v>0</v>
      </c>
      <c r="AR71" s="51" t="s">
        <v>472</v>
      </c>
      <c r="AS71" s="52" t="s">
        <v>473</v>
      </c>
      <c r="AT71" s="77">
        <v>3926909790</v>
      </c>
      <c r="AU71" s="52" t="s">
        <v>112</v>
      </c>
      <c r="AV71" s="52" t="s">
        <v>225</v>
      </c>
      <c r="AW71" s="52" t="s">
        <v>474</v>
      </c>
      <c r="AX71" s="52"/>
    </row>
    <row r="72" s="4" customFormat="1" ht="79" customHeight="1" spans="1:50">
      <c r="A72" s="40">
        <v>69</v>
      </c>
      <c r="B72" s="37">
        <v>46175</v>
      </c>
      <c r="C72" s="38" t="s">
        <v>480</v>
      </c>
      <c r="D72" s="39">
        <v>2620753</v>
      </c>
      <c r="E72" s="40" t="s">
        <v>428</v>
      </c>
      <c r="F72" s="78" t="s">
        <v>74</v>
      </c>
      <c r="G72" s="56"/>
      <c r="H72" s="57" t="s">
        <v>476</v>
      </c>
      <c r="I72" s="79" t="s">
        <v>468</v>
      </c>
      <c r="J72" s="51" t="s">
        <v>478</v>
      </c>
      <c r="K72" s="51" t="s">
        <v>478</v>
      </c>
      <c r="L72" s="51" t="s">
        <v>471</v>
      </c>
      <c r="M72" s="69">
        <v>16.99</v>
      </c>
      <c r="N72" s="45">
        <f t="shared" si="0"/>
        <v>3.16176697892272</v>
      </c>
      <c r="O72" s="46">
        <f t="shared" si="1"/>
        <v>27.00149</v>
      </c>
      <c r="P72" s="70">
        <f t="shared" si="2"/>
        <v>0.186095760972496</v>
      </c>
      <c r="Q72" s="45">
        <f t="shared" si="3"/>
        <v>4.15239929742389</v>
      </c>
      <c r="R72" s="46">
        <f t="shared" si="4"/>
        <v>35.46149</v>
      </c>
      <c r="S72" s="71">
        <f t="shared" si="5"/>
        <v>0.24440254840635</v>
      </c>
      <c r="T72" s="72" t="s">
        <v>61</v>
      </c>
      <c r="U72" s="72">
        <v>8.54</v>
      </c>
      <c r="V72" s="50">
        <v>0.2</v>
      </c>
      <c r="W72" s="50">
        <v>0.15</v>
      </c>
      <c r="X72" s="44">
        <v>18</v>
      </c>
      <c r="Y72" s="44">
        <v>12</v>
      </c>
      <c r="Z72" s="44">
        <v>6.5</v>
      </c>
      <c r="AA72" s="73">
        <f t="shared" si="6"/>
        <v>0.234</v>
      </c>
      <c r="AB72" s="44">
        <v>0.282</v>
      </c>
      <c r="AC72" s="49">
        <v>45</v>
      </c>
      <c r="AD72" s="49">
        <v>15</v>
      </c>
      <c r="AE72" s="74">
        <v>29</v>
      </c>
      <c r="AF72" s="48">
        <f t="shared" si="7"/>
        <v>3.39578454332553</v>
      </c>
      <c r="AG72" s="75">
        <f t="shared" si="8"/>
        <v>12.69</v>
      </c>
      <c r="AH72" s="45">
        <f t="shared" si="9"/>
        <v>1.48594847775176</v>
      </c>
      <c r="AI72" s="45">
        <f t="shared" si="10"/>
        <v>4.23</v>
      </c>
      <c r="AJ72" s="45">
        <f t="shared" si="11"/>
        <v>0.495316159250585</v>
      </c>
      <c r="AK72" s="48">
        <f t="shared" si="12"/>
        <v>2.5485</v>
      </c>
      <c r="AL72" s="44">
        <v>3</v>
      </c>
      <c r="AM72" s="45">
        <f t="shared" si="13"/>
        <v>3.398</v>
      </c>
      <c r="AN72" s="76">
        <v>0</v>
      </c>
      <c r="AO72" s="45"/>
      <c r="AP72" s="46"/>
      <c r="AQ72" s="45">
        <v>0</v>
      </c>
      <c r="AR72" s="51" t="s">
        <v>481</v>
      </c>
      <c r="AS72" s="52" t="s">
        <v>482</v>
      </c>
      <c r="AT72" s="77">
        <v>3926909790</v>
      </c>
      <c r="AU72" s="52" t="s">
        <v>112</v>
      </c>
      <c r="AV72" s="52" t="s">
        <v>225</v>
      </c>
      <c r="AW72" s="52" t="s">
        <v>474</v>
      </c>
      <c r="AX72" s="52"/>
    </row>
    <row r="73" s="4" customFormat="1" ht="79" customHeight="1" spans="1:50">
      <c r="A73" s="40">
        <v>70</v>
      </c>
      <c r="B73" s="37">
        <v>46175</v>
      </c>
      <c r="C73" s="38" t="s">
        <v>483</v>
      </c>
      <c r="D73" s="39">
        <v>2620754</v>
      </c>
      <c r="E73" s="40" t="s">
        <v>428</v>
      </c>
      <c r="F73" s="78" t="s">
        <v>74</v>
      </c>
      <c r="G73" s="56"/>
      <c r="H73" s="57" t="s">
        <v>484</v>
      </c>
      <c r="I73" s="79"/>
      <c r="J73" s="51" t="s">
        <v>485</v>
      </c>
      <c r="K73" s="51"/>
      <c r="L73" s="51" t="s">
        <v>486</v>
      </c>
      <c r="M73" s="69">
        <v>11.99</v>
      </c>
      <c r="N73" s="45">
        <f t="shared" si="0"/>
        <v>2.13378103044496</v>
      </c>
      <c r="O73" s="46">
        <f t="shared" si="1"/>
        <v>18.22249</v>
      </c>
      <c r="P73" s="70">
        <f t="shared" si="2"/>
        <v>0.177963388694326</v>
      </c>
      <c r="Q73" s="45">
        <f t="shared" si="3"/>
        <v>2.55532669789227</v>
      </c>
      <c r="R73" s="46">
        <f t="shared" si="4"/>
        <v>21.82249</v>
      </c>
      <c r="S73" s="71">
        <f t="shared" si="5"/>
        <v>0.213121492734969</v>
      </c>
      <c r="T73" s="72" t="s">
        <v>61</v>
      </c>
      <c r="U73" s="72">
        <v>8.54</v>
      </c>
      <c r="V73" s="50">
        <v>0.2</v>
      </c>
      <c r="W73" s="50">
        <v>0.15</v>
      </c>
      <c r="X73" s="44">
        <v>20</v>
      </c>
      <c r="Y73" s="44">
        <v>18</v>
      </c>
      <c r="Z73" s="44">
        <v>2</v>
      </c>
      <c r="AA73" s="73">
        <f t="shared" si="6"/>
        <v>0.12</v>
      </c>
      <c r="AB73" s="44">
        <v>0.06</v>
      </c>
      <c r="AC73" s="49">
        <v>45</v>
      </c>
      <c r="AD73" s="49">
        <v>15</v>
      </c>
      <c r="AE73" s="74">
        <v>25</v>
      </c>
      <c r="AF73" s="48">
        <f t="shared" si="7"/>
        <v>2.92740046838407</v>
      </c>
      <c r="AG73" s="75">
        <f t="shared" si="8"/>
        <v>5.4</v>
      </c>
      <c r="AH73" s="45">
        <f t="shared" si="9"/>
        <v>0.63231850117096</v>
      </c>
      <c r="AI73" s="45">
        <f t="shared" si="10"/>
        <v>1.8</v>
      </c>
      <c r="AJ73" s="45">
        <f t="shared" si="11"/>
        <v>0.210772833723653</v>
      </c>
      <c r="AK73" s="48">
        <f t="shared" si="12"/>
        <v>1.7985</v>
      </c>
      <c r="AL73" s="44">
        <v>2.1</v>
      </c>
      <c r="AM73" s="45">
        <f t="shared" si="13"/>
        <v>2.398</v>
      </c>
      <c r="AN73" s="76">
        <v>0</v>
      </c>
      <c r="AO73" s="45"/>
      <c r="AP73" s="46"/>
      <c r="AQ73" s="45">
        <v>0</v>
      </c>
      <c r="AR73" s="51" t="s">
        <v>487</v>
      </c>
      <c r="AS73" s="52" t="s">
        <v>488</v>
      </c>
      <c r="AT73" s="77">
        <v>6704190000</v>
      </c>
      <c r="AU73" s="52" t="s">
        <v>489</v>
      </c>
      <c r="AV73" s="52" t="s">
        <v>490</v>
      </c>
      <c r="AW73" s="52" t="s">
        <v>491</v>
      </c>
      <c r="AX73" s="52"/>
    </row>
    <row r="74" s="4" customFormat="1" ht="79" customHeight="1" spans="1:50">
      <c r="A74" s="40">
        <v>71</v>
      </c>
      <c r="B74" s="37">
        <v>46175</v>
      </c>
      <c r="C74" s="38" t="s">
        <v>492</v>
      </c>
      <c r="D74" s="39">
        <v>2620755</v>
      </c>
      <c r="E74" s="40" t="s">
        <v>428</v>
      </c>
      <c r="F74" s="55"/>
      <c r="G74" s="56"/>
      <c r="H74" s="57" t="s">
        <v>493</v>
      </c>
      <c r="I74" s="79" t="s">
        <v>494</v>
      </c>
      <c r="J74" s="51" t="s">
        <v>495</v>
      </c>
      <c r="K74" s="51" t="s">
        <v>496</v>
      </c>
      <c r="L74" s="51" t="s">
        <v>497</v>
      </c>
      <c r="M74" s="69">
        <v>7.99</v>
      </c>
      <c r="N74" s="45">
        <f t="shared" si="0"/>
        <v>1.89441334894614</v>
      </c>
      <c r="O74" s="46">
        <f t="shared" si="1"/>
        <v>16.17829</v>
      </c>
      <c r="P74" s="70">
        <f t="shared" si="2"/>
        <v>0.237098041169729</v>
      </c>
      <c r="Q74" s="45">
        <f t="shared" si="3"/>
        <v>2.31595901639344</v>
      </c>
      <c r="R74" s="46">
        <f t="shared" si="4"/>
        <v>19.77829</v>
      </c>
      <c r="S74" s="71">
        <f t="shared" si="5"/>
        <v>0.289857198547365</v>
      </c>
      <c r="T74" s="72" t="s">
        <v>61</v>
      </c>
      <c r="U74" s="72">
        <v>8.54</v>
      </c>
      <c r="V74" s="50">
        <v>0.2</v>
      </c>
      <c r="W74" s="50">
        <v>0.15</v>
      </c>
      <c r="X74" s="44">
        <v>26</v>
      </c>
      <c r="Y74" s="44">
        <v>18</v>
      </c>
      <c r="Z74" s="44">
        <v>1.5</v>
      </c>
      <c r="AA74" s="73">
        <f t="shared" si="6"/>
        <v>0.117</v>
      </c>
      <c r="AB74" s="44">
        <v>0.12</v>
      </c>
      <c r="AC74" s="49">
        <v>45</v>
      </c>
      <c r="AD74" s="49">
        <v>15</v>
      </c>
      <c r="AE74" s="74">
        <v>8</v>
      </c>
      <c r="AF74" s="48">
        <f t="shared" si="7"/>
        <v>0.936768149882904</v>
      </c>
      <c r="AG74" s="75">
        <f t="shared" si="8"/>
        <v>5.4</v>
      </c>
      <c r="AH74" s="45">
        <f t="shared" si="9"/>
        <v>0.63231850117096</v>
      </c>
      <c r="AI74" s="45">
        <f t="shared" si="10"/>
        <v>1.8</v>
      </c>
      <c r="AJ74" s="45">
        <f t="shared" si="11"/>
        <v>0.210772833723653</v>
      </c>
      <c r="AK74" s="48">
        <f t="shared" si="12"/>
        <v>1.1985</v>
      </c>
      <c r="AL74" s="44">
        <v>1.73</v>
      </c>
      <c r="AM74" s="45">
        <f t="shared" si="13"/>
        <v>1.598</v>
      </c>
      <c r="AN74" s="76">
        <v>0</v>
      </c>
      <c r="AO74" s="45"/>
      <c r="AP74" s="46"/>
      <c r="AQ74" s="45">
        <v>0</v>
      </c>
      <c r="AR74" s="51" t="s">
        <v>498</v>
      </c>
      <c r="AS74" s="52" t="s">
        <v>499</v>
      </c>
      <c r="AT74" s="77">
        <v>9505900000</v>
      </c>
      <c r="AU74" s="52" t="s">
        <v>112</v>
      </c>
      <c r="AV74" s="52" t="s">
        <v>456</v>
      </c>
      <c r="AW74" s="52" t="s">
        <v>457</v>
      </c>
      <c r="AX74" s="52"/>
    </row>
    <row r="75" s="4" customFormat="1" ht="79" customHeight="1" spans="1:50">
      <c r="A75" s="40">
        <v>72</v>
      </c>
      <c r="B75" s="37">
        <v>46175</v>
      </c>
      <c r="C75" s="38" t="s">
        <v>500</v>
      </c>
      <c r="D75" s="39">
        <v>2620756</v>
      </c>
      <c r="E75" s="40" t="s">
        <v>428</v>
      </c>
      <c r="F75" s="55"/>
      <c r="G75" s="56"/>
      <c r="H75" s="57" t="s">
        <v>501</v>
      </c>
      <c r="I75" s="79"/>
      <c r="J75" s="51" t="s">
        <v>502</v>
      </c>
      <c r="K75" s="51"/>
      <c r="L75" s="51" t="s">
        <v>503</v>
      </c>
      <c r="M75" s="69">
        <v>6.99</v>
      </c>
      <c r="N75" s="45">
        <f t="shared" si="0"/>
        <v>1.34394496487119</v>
      </c>
      <c r="O75" s="46">
        <f t="shared" si="1"/>
        <v>11.47729</v>
      </c>
      <c r="P75" s="70">
        <f t="shared" si="2"/>
        <v>0.192266804702603</v>
      </c>
      <c r="Q75" s="45">
        <f t="shared" si="3"/>
        <v>1.87087704918033</v>
      </c>
      <c r="R75" s="46">
        <f t="shared" si="4"/>
        <v>15.97729</v>
      </c>
      <c r="S75" s="71">
        <f t="shared" si="5"/>
        <v>0.26765050775112</v>
      </c>
      <c r="T75" s="72" t="s">
        <v>61</v>
      </c>
      <c r="U75" s="72">
        <v>8.54</v>
      </c>
      <c r="V75" s="50">
        <v>0.2</v>
      </c>
      <c r="W75" s="50">
        <v>0.15</v>
      </c>
      <c r="X75" s="44">
        <v>16.5</v>
      </c>
      <c r="Y75" s="44">
        <v>16.5</v>
      </c>
      <c r="Z75" s="44">
        <v>2</v>
      </c>
      <c r="AA75" s="73">
        <f t="shared" si="6"/>
        <v>0.09075</v>
      </c>
      <c r="AB75" s="44">
        <v>0.15</v>
      </c>
      <c r="AC75" s="49">
        <v>45</v>
      </c>
      <c r="AD75" s="49">
        <v>15</v>
      </c>
      <c r="AE75" s="74">
        <v>5.8</v>
      </c>
      <c r="AF75" s="48">
        <f t="shared" si="7"/>
        <v>0.679156908665105</v>
      </c>
      <c r="AG75" s="75">
        <f t="shared" si="8"/>
        <v>6.75</v>
      </c>
      <c r="AH75" s="45">
        <f t="shared" si="9"/>
        <v>0.7903981264637</v>
      </c>
      <c r="AI75" s="45">
        <f t="shared" si="10"/>
        <v>2.25</v>
      </c>
      <c r="AJ75" s="45">
        <f t="shared" si="11"/>
        <v>0.263466042154567</v>
      </c>
      <c r="AK75" s="48">
        <f t="shared" si="12"/>
        <v>1.0485</v>
      </c>
      <c r="AL75" s="44">
        <v>1.73</v>
      </c>
      <c r="AM75" s="45">
        <f t="shared" si="13"/>
        <v>1.398</v>
      </c>
      <c r="AN75" s="76">
        <v>0</v>
      </c>
      <c r="AO75" s="45"/>
      <c r="AP75" s="46"/>
      <c r="AQ75" s="45">
        <v>0</v>
      </c>
      <c r="AR75" s="51" t="s">
        <v>504</v>
      </c>
      <c r="AS75" s="52" t="s">
        <v>505</v>
      </c>
      <c r="AT75" s="77">
        <v>4806409000</v>
      </c>
      <c r="AU75" s="52" t="s">
        <v>90</v>
      </c>
      <c r="AV75" s="52" t="s">
        <v>506</v>
      </c>
      <c r="AW75" s="52" t="s">
        <v>507</v>
      </c>
      <c r="AX75" s="52"/>
    </row>
    <row r="76" s="4" customFormat="1" ht="79" customHeight="1" spans="1:50">
      <c r="A76" s="40">
        <v>73</v>
      </c>
      <c r="B76" s="37">
        <v>46175</v>
      </c>
      <c r="C76" s="38" t="s">
        <v>508</v>
      </c>
      <c r="D76" s="39">
        <v>2620757</v>
      </c>
      <c r="E76" s="40" t="s">
        <v>428</v>
      </c>
      <c r="F76" s="55"/>
      <c r="G76" s="56"/>
      <c r="H76" s="57" t="s">
        <v>509</v>
      </c>
      <c r="I76" s="79" t="s">
        <v>129</v>
      </c>
      <c r="J76" s="51" t="s">
        <v>510</v>
      </c>
      <c r="K76" s="51" t="s">
        <v>511</v>
      </c>
      <c r="L76" s="51"/>
      <c r="M76" s="69">
        <v>9.99</v>
      </c>
      <c r="N76" s="45">
        <f t="shared" si="0"/>
        <v>2.1666850117096</v>
      </c>
      <c r="O76" s="46">
        <f t="shared" si="1"/>
        <v>18.50349</v>
      </c>
      <c r="P76" s="70">
        <f t="shared" si="2"/>
        <v>0.216885386557518</v>
      </c>
      <c r="Q76" s="45">
        <f t="shared" si="3"/>
        <v>3.05193091334895</v>
      </c>
      <c r="R76" s="46">
        <f t="shared" si="4"/>
        <v>26.06349</v>
      </c>
      <c r="S76" s="71">
        <f t="shared" si="5"/>
        <v>0.305498589924819</v>
      </c>
      <c r="T76" s="72" t="s">
        <v>61</v>
      </c>
      <c r="U76" s="72">
        <v>8.54</v>
      </c>
      <c r="V76" s="50">
        <v>0.2</v>
      </c>
      <c r="W76" s="50">
        <v>0.15</v>
      </c>
      <c r="X76" s="44">
        <v>12</v>
      </c>
      <c r="Y76" s="44">
        <v>28</v>
      </c>
      <c r="Z76" s="44">
        <v>4.5</v>
      </c>
      <c r="AA76" s="73">
        <f t="shared" si="6"/>
        <v>0.252</v>
      </c>
      <c r="AB76" s="44">
        <v>0.23</v>
      </c>
      <c r="AC76" s="49">
        <v>45</v>
      </c>
      <c r="AD76" s="49">
        <v>15</v>
      </c>
      <c r="AE76" s="74">
        <v>2.98</v>
      </c>
      <c r="AF76" s="48">
        <f t="shared" si="7"/>
        <v>0.348946135831382</v>
      </c>
      <c r="AG76" s="75">
        <f t="shared" si="8"/>
        <v>11.34</v>
      </c>
      <c r="AH76" s="45">
        <f t="shared" si="9"/>
        <v>1.32786885245902</v>
      </c>
      <c r="AI76" s="45">
        <f t="shared" si="10"/>
        <v>3.78</v>
      </c>
      <c r="AJ76" s="45">
        <f t="shared" si="11"/>
        <v>0.442622950819672</v>
      </c>
      <c r="AK76" s="48">
        <f t="shared" si="12"/>
        <v>1.4985</v>
      </c>
      <c r="AL76" s="44">
        <v>2.65</v>
      </c>
      <c r="AM76" s="45">
        <f t="shared" si="13"/>
        <v>1.998</v>
      </c>
      <c r="AN76" s="76">
        <v>0</v>
      </c>
      <c r="AO76" s="45"/>
      <c r="AP76" s="46"/>
      <c r="AQ76" s="45">
        <v>0</v>
      </c>
      <c r="AR76" s="51" t="s">
        <v>512</v>
      </c>
      <c r="AS76" s="52" t="s">
        <v>513</v>
      </c>
      <c r="AT76" s="77">
        <v>3923210000</v>
      </c>
      <c r="AU76" s="52" t="s">
        <v>211</v>
      </c>
      <c r="AV76" s="52" t="s">
        <v>514</v>
      </c>
      <c r="AW76" s="52" t="s">
        <v>515</v>
      </c>
      <c r="AX76" s="52"/>
    </row>
    <row r="77" s="4" customFormat="1" ht="79" customHeight="1" spans="1:50">
      <c r="A77" s="40">
        <v>74</v>
      </c>
      <c r="B77" s="37">
        <v>46175</v>
      </c>
      <c r="C77" s="38" t="s">
        <v>516</v>
      </c>
      <c r="D77" s="39">
        <v>2620758</v>
      </c>
      <c r="E77" s="40" t="s">
        <v>428</v>
      </c>
      <c r="F77" s="55" t="s">
        <v>205</v>
      </c>
      <c r="G77" s="56"/>
      <c r="H77" s="79" t="s">
        <v>517</v>
      </c>
      <c r="I77" s="79" t="s">
        <v>129</v>
      </c>
      <c r="J77" s="51" t="s">
        <v>518</v>
      </c>
      <c r="K77" s="51"/>
      <c r="L77" s="51"/>
      <c r="M77" s="69">
        <v>6.99</v>
      </c>
      <c r="N77" s="45">
        <f t="shared" si="0"/>
        <v>1.53638056206089</v>
      </c>
      <c r="O77" s="46">
        <f t="shared" si="1"/>
        <v>13.12069</v>
      </c>
      <c r="P77" s="70">
        <f t="shared" si="2"/>
        <v>0.219796933055921</v>
      </c>
      <c r="Q77" s="45">
        <f t="shared" si="3"/>
        <v>1.74715339578454</v>
      </c>
      <c r="R77" s="46">
        <f t="shared" si="4"/>
        <v>14.92069</v>
      </c>
      <c r="S77" s="71">
        <f t="shared" si="5"/>
        <v>0.249950414275328</v>
      </c>
      <c r="T77" s="72" t="s">
        <v>61</v>
      </c>
      <c r="U77" s="72">
        <v>8.54</v>
      </c>
      <c r="V77" s="50">
        <v>0.2</v>
      </c>
      <c r="W77" s="50">
        <v>0.15</v>
      </c>
      <c r="X77" s="44">
        <v>20</v>
      </c>
      <c r="Y77" s="44">
        <v>20</v>
      </c>
      <c r="Z77" s="44">
        <v>0.5</v>
      </c>
      <c r="AA77" s="73">
        <f t="shared" si="6"/>
        <v>0.0333333333333333</v>
      </c>
      <c r="AB77" s="44">
        <v>0.06</v>
      </c>
      <c r="AC77" s="49">
        <v>45</v>
      </c>
      <c r="AD77" s="49">
        <v>15</v>
      </c>
      <c r="AE77" s="74">
        <v>10</v>
      </c>
      <c r="AF77" s="48">
        <f t="shared" si="7"/>
        <v>1.17096018735363</v>
      </c>
      <c r="AG77" s="75">
        <f t="shared" si="8"/>
        <v>2.7</v>
      </c>
      <c r="AH77" s="45">
        <f t="shared" si="9"/>
        <v>0.31615925058548</v>
      </c>
      <c r="AI77" s="45">
        <f t="shared" si="10"/>
        <v>0.9</v>
      </c>
      <c r="AJ77" s="45">
        <f t="shared" si="11"/>
        <v>0.105386416861827</v>
      </c>
      <c r="AK77" s="48">
        <f t="shared" si="12"/>
        <v>1.0485</v>
      </c>
      <c r="AL77" s="44">
        <v>1.52</v>
      </c>
      <c r="AM77" s="45">
        <f t="shared" si="13"/>
        <v>1.398</v>
      </c>
      <c r="AN77" s="76">
        <v>0</v>
      </c>
      <c r="AO77" s="45"/>
      <c r="AP77" s="46"/>
      <c r="AQ77" s="45">
        <v>0</v>
      </c>
      <c r="AR77" s="51" t="s">
        <v>431</v>
      </c>
      <c r="AS77" s="52" t="s">
        <v>63</v>
      </c>
      <c r="AT77" s="77">
        <v>3926909790</v>
      </c>
      <c r="AU77" s="52" t="s">
        <v>64</v>
      </c>
      <c r="AV77" s="52" t="s">
        <v>65</v>
      </c>
      <c r="AW77" s="52" t="s">
        <v>66</v>
      </c>
      <c r="AX77" s="52"/>
    </row>
    <row r="78" s="4" customFormat="1" ht="79" customHeight="1" spans="1:50">
      <c r="A78" s="40">
        <v>75</v>
      </c>
      <c r="B78" s="37">
        <v>46175</v>
      </c>
      <c r="C78" s="38" t="s">
        <v>519</v>
      </c>
      <c r="D78" s="39">
        <v>2620759</v>
      </c>
      <c r="E78" s="40" t="s">
        <v>428</v>
      </c>
      <c r="F78" s="78"/>
      <c r="G78" s="56"/>
      <c r="H78" s="57" t="s">
        <v>520</v>
      </c>
      <c r="I78" s="79"/>
      <c r="J78" s="51" t="s">
        <v>521</v>
      </c>
      <c r="K78" s="51"/>
      <c r="L78" s="51" t="s">
        <v>522</v>
      </c>
      <c r="M78" s="69">
        <v>5.99</v>
      </c>
      <c r="N78" s="45">
        <f t="shared" si="0"/>
        <v>1.46600585480094</v>
      </c>
      <c r="O78" s="46">
        <f t="shared" si="1"/>
        <v>12.51969</v>
      </c>
      <c r="P78" s="70">
        <f t="shared" si="2"/>
        <v>0.244742212821525</v>
      </c>
      <c r="Q78" s="45">
        <f t="shared" si="3"/>
        <v>1.64164988290398</v>
      </c>
      <c r="R78" s="46">
        <f t="shared" si="4"/>
        <v>14.01969</v>
      </c>
      <c r="S78" s="71">
        <f t="shared" si="5"/>
        <v>0.274065088965606</v>
      </c>
      <c r="T78" s="72" t="s">
        <v>61</v>
      </c>
      <c r="U78" s="72">
        <v>8.54</v>
      </c>
      <c r="V78" s="50">
        <v>0.2</v>
      </c>
      <c r="W78" s="50">
        <v>0.15</v>
      </c>
      <c r="X78" s="44">
        <v>11</v>
      </c>
      <c r="Y78" s="44">
        <v>8.5</v>
      </c>
      <c r="Z78" s="44">
        <v>2</v>
      </c>
      <c r="AA78" s="73">
        <f t="shared" si="6"/>
        <v>0.0311666666666667</v>
      </c>
      <c r="AB78" s="44">
        <v>0.05</v>
      </c>
      <c r="AC78" s="49">
        <v>45</v>
      </c>
      <c r="AD78" s="49">
        <v>15</v>
      </c>
      <c r="AE78" s="74">
        <v>5.5</v>
      </c>
      <c r="AF78" s="48">
        <f t="shared" si="7"/>
        <v>0.644028103044497</v>
      </c>
      <c r="AG78" s="75">
        <f t="shared" si="8"/>
        <v>2.25</v>
      </c>
      <c r="AH78" s="45">
        <f t="shared" si="9"/>
        <v>0.263466042154567</v>
      </c>
      <c r="AI78" s="45">
        <f t="shared" si="10"/>
        <v>0.75</v>
      </c>
      <c r="AJ78" s="45">
        <f t="shared" si="11"/>
        <v>0.0878220140515223</v>
      </c>
      <c r="AK78" s="48">
        <f t="shared" si="12"/>
        <v>0.8985</v>
      </c>
      <c r="AL78" s="44">
        <v>1.52</v>
      </c>
      <c r="AM78" s="45">
        <f t="shared" si="13"/>
        <v>1.198</v>
      </c>
      <c r="AN78" s="76">
        <v>0</v>
      </c>
      <c r="AO78" s="45"/>
      <c r="AP78" s="46"/>
      <c r="AQ78" s="45">
        <v>0</v>
      </c>
      <c r="AR78" s="51" t="s">
        <v>523</v>
      </c>
      <c r="AS78" s="52" t="s">
        <v>524</v>
      </c>
      <c r="AT78" s="77">
        <v>4202929110</v>
      </c>
      <c r="AU78" s="52" t="s">
        <v>525</v>
      </c>
      <c r="AV78" s="52" t="s">
        <v>526</v>
      </c>
      <c r="AW78" s="52" t="s">
        <v>527</v>
      </c>
      <c r="AX78" s="52"/>
    </row>
    <row r="79" s="4" customFormat="1" ht="79" customHeight="1" spans="1:50">
      <c r="A79" s="40">
        <v>76</v>
      </c>
      <c r="B79" s="37">
        <v>46175</v>
      </c>
      <c r="C79" s="38" t="s">
        <v>528</v>
      </c>
      <c r="D79" s="39">
        <v>2620760</v>
      </c>
      <c r="E79" s="40" t="s">
        <v>428</v>
      </c>
      <c r="F79" s="55"/>
      <c r="G79" s="56"/>
      <c r="H79" s="57" t="s">
        <v>529</v>
      </c>
      <c r="I79" s="79"/>
      <c r="J79" s="51" t="s">
        <v>521</v>
      </c>
      <c r="K79" s="51"/>
      <c r="L79" s="51" t="s">
        <v>522</v>
      </c>
      <c r="M79" s="69">
        <v>5.99</v>
      </c>
      <c r="N79" s="45">
        <f t="shared" si="0"/>
        <v>1.75357025761124</v>
      </c>
      <c r="O79" s="46">
        <f t="shared" si="1"/>
        <v>14.97549</v>
      </c>
      <c r="P79" s="70">
        <f t="shared" si="2"/>
        <v>0.292749625644615</v>
      </c>
      <c r="Q79" s="45">
        <f t="shared" si="3"/>
        <v>1.88354683840749</v>
      </c>
      <c r="R79" s="46">
        <f t="shared" si="4"/>
        <v>16.08549</v>
      </c>
      <c r="S79" s="71">
        <f t="shared" si="5"/>
        <v>0.314448553991234</v>
      </c>
      <c r="T79" s="72" t="s">
        <v>61</v>
      </c>
      <c r="U79" s="72">
        <v>8.54</v>
      </c>
      <c r="V79" s="50">
        <v>0.2</v>
      </c>
      <c r="W79" s="50">
        <v>0.15</v>
      </c>
      <c r="X79" s="44">
        <v>10.6</v>
      </c>
      <c r="Y79" s="44">
        <v>8.2</v>
      </c>
      <c r="Z79" s="44">
        <v>1.6</v>
      </c>
      <c r="AA79" s="73">
        <f t="shared" si="6"/>
        <v>0.0231786666666667</v>
      </c>
      <c r="AB79" s="44">
        <v>0.037</v>
      </c>
      <c r="AC79" s="49">
        <v>45</v>
      </c>
      <c r="AD79" s="49">
        <v>15</v>
      </c>
      <c r="AE79" s="74">
        <v>3.8</v>
      </c>
      <c r="AF79" s="48">
        <f t="shared" si="7"/>
        <v>0.444964871194379</v>
      </c>
      <c r="AG79" s="75">
        <f t="shared" si="8"/>
        <v>1.665</v>
      </c>
      <c r="AH79" s="45">
        <f t="shared" si="9"/>
        <v>0.194964871194379</v>
      </c>
      <c r="AI79" s="45">
        <f t="shared" si="10"/>
        <v>0.555</v>
      </c>
      <c r="AJ79" s="45">
        <f t="shared" si="11"/>
        <v>0.0649882903981265</v>
      </c>
      <c r="AK79" s="48">
        <f t="shared" si="12"/>
        <v>0.8985</v>
      </c>
      <c r="AL79" s="44">
        <v>1.5</v>
      </c>
      <c r="AM79" s="45">
        <f t="shared" si="13"/>
        <v>1.198</v>
      </c>
      <c r="AN79" s="76">
        <v>0</v>
      </c>
      <c r="AO79" s="45"/>
      <c r="AP79" s="46"/>
      <c r="AQ79" s="45">
        <v>0</v>
      </c>
      <c r="AR79" s="51" t="s">
        <v>530</v>
      </c>
      <c r="AS79" s="52" t="s">
        <v>524</v>
      </c>
      <c r="AT79" s="77">
        <v>4202929110</v>
      </c>
      <c r="AU79" s="52" t="s">
        <v>525</v>
      </c>
      <c r="AV79" s="52" t="s">
        <v>526</v>
      </c>
      <c r="AW79" s="52" t="s">
        <v>527</v>
      </c>
      <c r="AX79" s="52"/>
    </row>
    <row r="80" s="4" customFormat="1" ht="79" customHeight="1" spans="1:50">
      <c r="A80" s="40">
        <v>77</v>
      </c>
      <c r="B80" s="37">
        <v>46175</v>
      </c>
      <c r="C80" s="38" t="s">
        <v>531</v>
      </c>
      <c r="D80" s="39">
        <v>2620761</v>
      </c>
      <c r="E80" s="40" t="s">
        <v>428</v>
      </c>
      <c r="F80" s="78" t="s">
        <v>69</v>
      </c>
      <c r="G80" s="56"/>
      <c r="H80" s="57" t="s">
        <v>532</v>
      </c>
      <c r="I80" s="79" t="s">
        <v>468</v>
      </c>
      <c r="J80" s="51" t="s">
        <v>533</v>
      </c>
      <c r="K80" s="51" t="s">
        <v>534</v>
      </c>
      <c r="L80" s="51" t="s">
        <v>535</v>
      </c>
      <c r="M80" s="69">
        <v>6.99</v>
      </c>
      <c r="N80" s="45">
        <f t="shared" si="0"/>
        <v>1.50359367681499</v>
      </c>
      <c r="O80" s="46">
        <f t="shared" si="1"/>
        <v>12.84069</v>
      </c>
      <c r="P80" s="70">
        <f t="shared" si="2"/>
        <v>0.215106391532902</v>
      </c>
      <c r="Q80" s="45">
        <f t="shared" si="3"/>
        <v>2.00944847775176</v>
      </c>
      <c r="R80" s="46">
        <f t="shared" si="4"/>
        <v>17.16069</v>
      </c>
      <c r="S80" s="71">
        <f t="shared" si="5"/>
        <v>0.287474746459479</v>
      </c>
      <c r="T80" s="72" t="s">
        <v>61</v>
      </c>
      <c r="U80" s="72">
        <v>8.54</v>
      </c>
      <c r="V80" s="50">
        <v>0.2</v>
      </c>
      <c r="W80" s="50">
        <v>0.15</v>
      </c>
      <c r="X80" s="44">
        <v>24</v>
      </c>
      <c r="Y80" s="44">
        <v>18</v>
      </c>
      <c r="Z80" s="44">
        <v>2</v>
      </c>
      <c r="AA80" s="73">
        <f t="shared" si="6"/>
        <v>0.144</v>
      </c>
      <c r="AB80" s="44">
        <v>0.045</v>
      </c>
      <c r="AC80" s="49">
        <v>45</v>
      </c>
      <c r="AD80" s="49">
        <v>15</v>
      </c>
      <c r="AE80" s="74">
        <v>6.5</v>
      </c>
      <c r="AF80" s="48">
        <f t="shared" si="7"/>
        <v>0.76112412177986</v>
      </c>
      <c r="AG80" s="75">
        <f t="shared" si="8"/>
        <v>6.48</v>
      </c>
      <c r="AH80" s="45">
        <f t="shared" si="9"/>
        <v>0.758782201405152</v>
      </c>
      <c r="AI80" s="45">
        <f t="shared" si="10"/>
        <v>2.16</v>
      </c>
      <c r="AJ80" s="45">
        <f t="shared" si="11"/>
        <v>0.252927400468384</v>
      </c>
      <c r="AK80" s="48">
        <f t="shared" si="12"/>
        <v>1.0485</v>
      </c>
      <c r="AL80" s="44">
        <v>1.52</v>
      </c>
      <c r="AM80" s="45">
        <f t="shared" si="13"/>
        <v>1.398</v>
      </c>
      <c r="AN80" s="76">
        <v>0</v>
      </c>
      <c r="AO80" s="45"/>
      <c r="AP80" s="46"/>
      <c r="AQ80" s="45">
        <v>0</v>
      </c>
      <c r="AR80" s="51" t="s">
        <v>536</v>
      </c>
      <c r="AS80" s="52" t="s">
        <v>524</v>
      </c>
      <c r="AT80" s="77">
        <v>4202929110</v>
      </c>
      <c r="AU80" s="52" t="s">
        <v>525</v>
      </c>
      <c r="AV80" s="52" t="s">
        <v>537</v>
      </c>
      <c r="AW80" s="52" t="s">
        <v>538</v>
      </c>
      <c r="AX80" s="52"/>
    </row>
    <row r="81" s="4" customFormat="1" ht="79" customHeight="1" spans="1:50">
      <c r="A81" s="40">
        <v>78</v>
      </c>
      <c r="B81" s="37">
        <v>46175</v>
      </c>
      <c r="C81" s="105" t="s">
        <v>539</v>
      </c>
      <c r="D81" s="39">
        <v>2620762</v>
      </c>
      <c r="E81" s="40" t="s">
        <v>428</v>
      </c>
      <c r="F81" s="78" t="s">
        <v>69</v>
      </c>
      <c r="G81" s="56"/>
      <c r="H81" s="57" t="s">
        <v>540</v>
      </c>
      <c r="I81" s="79"/>
      <c r="J81" s="51" t="s">
        <v>541</v>
      </c>
      <c r="K81" s="51" t="s">
        <v>542</v>
      </c>
      <c r="L81" s="51" t="s">
        <v>543</v>
      </c>
      <c r="M81" s="69">
        <v>12.99</v>
      </c>
      <c r="N81" s="45">
        <f t="shared" si="0"/>
        <v>2.48535011709602</v>
      </c>
      <c r="O81" s="46">
        <f t="shared" si="1"/>
        <v>21.22489</v>
      </c>
      <c r="P81" s="70">
        <f t="shared" si="2"/>
        <v>0.191327953587068</v>
      </c>
      <c r="Q81" s="45">
        <f t="shared" si="3"/>
        <v>2.8190737704918</v>
      </c>
      <c r="R81" s="46">
        <f t="shared" si="4"/>
        <v>24.07489</v>
      </c>
      <c r="S81" s="71">
        <f t="shared" si="5"/>
        <v>0.217018766011686</v>
      </c>
      <c r="T81" s="72" t="s">
        <v>61</v>
      </c>
      <c r="U81" s="72">
        <v>8.54</v>
      </c>
      <c r="V81" s="50">
        <v>0.2</v>
      </c>
      <c r="W81" s="50">
        <v>0.15</v>
      </c>
      <c r="X81" s="44">
        <v>7</v>
      </c>
      <c r="Y81" s="44">
        <v>7</v>
      </c>
      <c r="Z81" s="44">
        <v>4.5</v>
      </c>
      <c r="AA81" s="73">
        <f t="shared" si="6"/>
        <v>0.03675</v>
      </c>
      <c r="AB81" s="44">
        <v>0.095</v>
      </c>
      <c r="AC81" s="49">
        <v>45</v>
      </c>
      <c r="AD81" s="49">
        <v>15</v>
      </c>
      <c r="AE81" s="74">
        <v>21.5</v>
      </c>
      <c r="AF81" s="48">
        <f t="shared" si="7"/>
        <v>2.5175644028103</v>
      </c>
      <c r="AG81" s="75">
        <f t="shared" si="8"/>
        <v>4.275</v>
      </c>
      <c r="AH81" s="45">
        <f t="shared" si="9"/>
        <v>0.500585480093677</v>
      </c>
      <c r="AI81" s="45">
        <f t="shared" si="10"/>
        <v>1.425</v>
      </c>
      <c r="AJ81" s="45">
        <f t="shared" si="11"/>
        <v>0.166861826697892</v>
      </c>
      <c r="AK81" s="48">
        <f t="shared" si="12"/>
        <v>1.9485</v>
      </c>
      <c r="AL81" s="44">
        <v>2.94</v>
      </c>
      <c r="AM81" s="45">
        <f t="shared" si="13"/>
        <v>2.598</v>
      </c>
      <c r="AN81" s="76">
        <v>0</v>
      </c>
      <c r="AO81" s="45"/>
      <c r="AP81" s="46"/>
      <c r="AQ81" s="45">
        <v>0</v>
      </c>
      <c r="AR81" s="51" t="s">
        <v>544</v>
      </c>
      <c r="AS81" s="52" t="s">
        <v>545</v>
      </c>
      <c r="AT81" s="77">
        <v>9113900011</v>
      </c>
      <c r="AU81" s="52" t="s">
        <v>546</v>
      </c>
      <c r="AV81" s="52" t="s">
        <v>547</v>
      </c>
      <c r="AW81" s="52" t="s">
        <v>548</v>
      </c>
      <c r="AX81" s="52" t="s">
        <v>549</v>
      </c>
    </row>
    <row r="82" s="4" customFormat="1" ht="79" customHeight="1" spans="1:50">
      <c r="A82" s="40">
        <v>79</v>
      </c>
      <c r="B82" s="37">
        <v>46175</v>
      </c>
      <c r="C82" s="105" t="s">
        <v>550</v>
      </c>
      <c r="D82" s="39">
        <v>2620763</v>
      </c>
      <c r="E82" s="40" t="s">
        <v>428</v>
      </c>
      <c r="F82" s="78" t="s">
        <v>74</v>
      </c>
      <c r="G82" s="56"/>
      <c r="H82" s="57" t="s">
        <v>551</v>
      </c>
      <c r="I82" s="79"/>
      <c r="J82" s="51" t="s">
        <v>541</v>
      </c>
      <c r="K82" s="51" t="s">
        <v>542</v>
      </c>
      <c r="L82" s="51" t="s">
        <v>543</v>
      </c>
      <c r="M82" s="69">
        <v>12.99</v>
      </c>
      <c r="N82" s="45">
        <f t="shared" si="0"/>
        <v>2.48535011709602</v>
      </c>
      <c r="O82" s="46">
        <f t="shared" si="1"/>
        <v>21.22489</v>
      </c>
      <c r="P82" s="70">
        <f t="shared" si="2"/>
        <v>0.191327953587068</v>
      </c>
      <c r="Q82" s="45">
        <f t="shared" si="3"/>
        <v>2.8190737704918</v>
      </c>
      <c r="R82" s="46">
        <f t="shared" si="4"/>
        <v>24.07489</v>
      </c>
      <c r="S82" s="71">
        <f t="shared" si="5"/>
        <v>0.217018766011686</v>
      </c>
      <c r="T82" s="72" t="s">
        <v>61</v>
      </c>
      <c r="U82" s="72">
        <v>8.54</v>
      </c>
      <c r="V82" s="50">
        <v>0.2</v>
      </c>
      <c r="W82" s="50">
        <v>0.15</v>
      </c>
      <c r="X82" s="44">
        <v>7</v>
      </c>
      <c r="Y82" s="44">
        <v>7</v>
      </c>
      <c r="Z82" s="44">
        <v>4.5</v>
      </c>
      <c r="AA82" s="73">
        <f t="shared" si="6"/>
        <v>0.03675</v>
      </c>
      <c r="AB82" s="44">
        <v>0.095</v>
      </c>
      <c r="AC82" s="49">
        <v>45</v>
      </c>
      <c r="AD82" s="49">
        <v>15</v>
      </c>
      <c r="AE82" s="74">
        <v>21.5</v>
      </c>
      <c r="AF82" s="48">
        <f t="shared" si="7"/>
        <v>2.5175644028103</v>
      </c>
      <c r="AG82" s="75">
        <f t="shared" si="8"/>
        <v>4.275</v>
      </c>
      <c r="AH82" s="45">
        <f t="shared" si="9"/>
        <v>0.500585480093677</v>
      </c>
      <c r="AI82" s="45">
        <f t="shared" si="10"/>
        <v>1.425</v>
      </c>
      <c r="AJ82" s="45">
        <f t="shared" si="11"/>
        <v>0.166861826697892</v>
      </c>
      <c r="AK82" s="48">
        <f t="shared" si="12"/>
        <v>1.9485</v>
      </c>
      <c r="AL82" s="44">
        <v>2.94</v>
      </c>
      <c r="AM82" s="45">
        <f t="shared" si="13"/>
        <v>2.598</v>
      </c>
      <c r="AN82" s="76">
        <v>0</v>
      </c>
      <c r="AO82" s="45"/>
      <c r="AP82" s="46"/>
      <c r="AQ82" s="45">
        <v>0</v>
      </c>
      <c r="AR82" s="51" t="s">
        <v>544</v>
      </c>
      <c r="AS82" s="52" t="s">
        <v>545</v>
      </c>
      <c r="AT82" s="77">
        <v>9113900011</v>
      </c>
      <c r="AU82" s="52" t="s">
        <v>546</v>
      </c>
      <c r="AV82" s="52" t="s">
        <v>547</v>
      </c>
      <c r="AW82" s="52" t="s">
        <v>548</v>
      </c>
      <c r="AX82" s="52" t="s">
        <v>549</v>
      </c>
    </row>
    <row r="83" s="4" customFormat="1" ht="79" customHeight="1" spans="1:50">
      <c r="A83" s="40">
        <v>80</v>
      </c>
      <c r="B83" s="37">
        <v>46175</v>
      </c>
      <c r="C83" s="105" t="s">
        <v>552</v>
      </c>
      <c r="D83" s="39">
        <v>2620764</v>
      </c>
      <c r="E83" s="40" t="s">
        <v>428</v>
      </c>
      <c r="F83" s="78" t="s">
        <v>289</v>
      </c>
      <c r="G83" s="56"/>
      <c r="H83" s="57" t="s">
        <v>553</v>
      </c>
      <c r="I83" s="79"/>
      <c r="J83" s="51" t="s">
        <v>541</v>
      </c>
      <c r="K83" s="51" t="s">
        <v>542</v>
      </c>
      <c r="L83" s="51" t="s">
        <v>543</v>
      </c>
      <c r="M83" s="69">
        <v>12.99</v>
      </c>
      <c r="N83" s="45">
        <f t="shared" si="0"/>
        <v>2.48535011709602</v>
      </c>
      <c r="O83" s="46">
        <f t="shared" si="1"/>
        <v>21.22489</v>
      </c>
      <c r="P83" s="70">
        <f t="shared" si="2"/>
        <v>0.191327953587068</v>
      </c>
      <c r="Q83" s="45">
        <f t="shared" si="3"/>
        <v>2.8190737704918</v>
      </c>
      <c r="R83" s="46">
        <f t="shared" si="4"/>
        <v>24.07489</v>
      </c>
      <c r="S83" s="71">
        <f t="shared" si="5"/>
        <v>0.217018766011686</v>
      </c>
      <c r="T83" s="72" t="s">
        <v>61</v>
      </c>
      <c r="U83" s="72">
        <v>8.54</v>
      </c>
      <c r="V83" s="50">
        <v>0.2</v>
      </c>
      <c r="W83" s="50">
        <v>0.15</v>
      </c>
      <c r="X83" s="44">
        <v>7</v>
      </c>
      <c r="Y83" s="44">
        <v>7</v>
      </c>
      <c r="Z83" s="44">
        <v>4.5</v>
      </c>
      <c r="AA83" s="73">
        <f t="shared" si="6"/>
        <v>0.03675</v>
      </c>
      <c r="AB83" s="44">
        <v>0.095</v>
      </c>
      <c r="AC83" s="49">
        <v>45</v>
      </c>
      <c r="AD83" s="49">
        <v>15</v>
      </c>
      <c r="AE83" s="74">
        <v>21.5</v>
      </c>
      <c r="AF83" s="48">
        <f t="shared" si="7"/>
        <v>2.5175644028103</v>
      </c>
      <c r="AG83" s="75">
        <f t="shared" si="8"/>
        <v>4.275</v>
      </c>
      <c r="AH83" s="45">
        <f t="shared" si="9"/>
        <v>0.500585480093677</v>
      </c>
      <c r="AI83" s="45">
        <f t="shared" si="10"/>
        <v>1.425</v>
      </c>
      <c r="AJ83" s="45">
        <f t="shared" si="11"/>
        <v>0.166861826697892</v>
      </c>
      <c r="AK83" s="48">
        <f t="shared" si="12"/>
        <v>1.9485</v>
      </c>
      <c r="AL83" s="44">
        <v>2.94</v>
      </c>
      <c r="AM83" s="45">
        <f t="shared" si="13"/>
        <v>2.598</v>
      </c>
      <c r="AN83" s="76">
        <v>0</v>
      </c>
      <c r="AO83" s="45"/>
      <c r="AP83" s="46"/>
      <c r="AQ83" s="45">
        <v>0</v>
      </c>
      <c r="AR83" s="51" t="s">
        <v>544</v>
      </c>
      <c r="AS83" s="52" t="s">
        <v>545</v>
      </c>
      <c r="AT83" s="77">
        <v>9113900011</v>
      </c>
      <c r="AU83" s="52" t="s">
        <v>546</v>
      </c>
      <c r="AV83" s="52" t="s">
        <v>547</v>
      </c>
      <c r="AW83" s="52" t="s">
        <v>548</v>
      </c>
      <c r="AX83" s="52" t="s">
        <v>549</v>
      </c>
    </row>
    <row r="84" s="4" customFormat="1" ht="79" customHeight="1" spans="1:50">
      <c r="A84" s="40">
        <v>81</v>
      </c>
      <c r="B84" s="37">
        <v>46175</v>
      </c>
      <c r="C84" s="38" t="s">
        <v>554</v>
      </c>
      <c r="D84" s="39">
        <v>2561464</v>
      </c>
      <c r="E84" s="40" t="s">
        <v>555</v>
      </c>
      <c r="F84" s="78" t="s">
        <v>289</v>
      </c>
      <c r="G84" s="56"/>
      <c r="H84" s="57"/>
      <c r="I84" s="79"/>
      <c r="J84" s="51" t="s">
        <v>556</v>
      </c>
      <c r="K84" s="51" t="s">
        <v>557</v>
      </c>
      <c r="L84" s="51"/>
      <c r="M84" s="69">
        <v>7.99</v>
      </c>
      <c r="N84" s="45">
        <f t="shared" si="0"/>
        <v>1.7663337236534</v>
      </c>
      <c r="O84" s="46">
        <f t="shared" si="1"/>
        <v>15.08449</v>
      </c>
      <c r="P84" s="70">
        <f t="shared" si="2"/>
        <v>0.221068050519824</v>
      </c>
      <c r="Q84" s="45">
        <f t="shared" si="3"/>
        <v>2.15275058548009</v>
      </c>
      <c r="R84" s="46">
        <f t="shared" si="4"/>
        <v>18.38449</v>
      </c>
      <c r="S84" s="71">
        <f t="shared" si="5"/>
        <v>0.269430611449323</v>
      </c>
      <c r="T84" s="72" t="s">
        <v>61</v>
      </c>
      <c r="U84" s="72">
        <v>8.54</v>
      </c>
      <c r="V84" s="50">
        <v>0.2</v>
      </c>
      <c r="W84" s="50">
        <v>0.15</v>
      </c>
      <c r="X84" s="44">
        <v>30</v>
      </c>
      <c r="Y84" s="44">
        <v>22</v>
      </c>
      <c r="Z84" s="44">
        <v>1</v>
      </c>
      <c r="AA84" s="73">
        <f t="shared" ref="AA84:AA113" si="14">(X84*Y84*Z84)/6000</f>
        <v>0.11</v>
      </c>
      <c r="AB84" s="44">
        <v>0.1</v>
      </c>
      <c r="AC84" s="49">
        <v>45</v>
      </c>
      <c r="AD84" s="49">
        <v>15</v>
      </c>
      <c r="AE84" s="74">
        <v>9.8</v>
      </c>
      <c r="AF84" s="48">
        <f t="shared" si="7"/>
        <v>1.14754098360656</v>
      </c>
      <c r="AG84" s="75">
        <f t="shared" si="8"/>
        <v>4.95</v>
      </c>
      <c r="AH84" s="45">
        <f t="shared" si="9"/>
        <v>0.579625292740047</v>
      </c>
      <c r="AI84" s="45">
        <f t="shared" si="10"/>
        <v>1.65</v>
      </c>
      <c r="AJ84" s="45">
        <f t="shared" si="11"/>
        <v>0.193208430913349</v>
      </c>
      <c r="AK84" s="48">
        <f t="shared" si="12"/>
        <v>1.1985</v>
      </c>
      <c r="AL84" s="44">
        <v>1.7</v>
      </c>
      <c r="AM84" s="45">
        <f t="shared" si="13"/>
        <v>1.598</v>
      </c>
      <c r="AN84" s="76">
        <v>0</v>
      </c>
      <c r="AO84" s="45"/>
      <c r="AP84" s="46"/>
      <c r="AQ84" s="45">
        <v>0</v>
      </c>
      <c r="AR84" s="51" t="s">
        <v>558</v>
      </c>
      <c r="AS84" s="52" t="s">
        <v>559</v>
      </c>
      <c r="AT84" s="106">
        <v>4202990090</v>
      </c>
      <c r="AU84" s="95" t="s">
        <v>256</v>
      </c>
      <c r="AV84" s="95" t="s">
        <v>560</v>
      </c>
      <c r="AW84" s="95" t="s">
        <v>561</v>
      </c>
      <c r="AX84" s="52" t="s">
        <v>562</v>
      </c>
    </row>
    <row r="85" s="4" customFormat="1" ht="79" customHeight="1" spans="1:50">
      <c r="A85" s="40">
        <v>82</v>
      </c>
      <c r="B85" s="37">
        <v>46175</v>
      </c>
      <c r="C85" s="38" t="s">
        <v>563</v>
      </c>
      <c r="D85" s="39">
        <v>2561465</v>
      </c>
      <c r="E85" s="40" t="s">
        <v>555</v>
      </c>
      <c r="F85" s="78" t="s">
        <v>69</v>
      </c>
      <c r="G85" s="56"/>
      <c r="H85" s="57"/>
      <c r="I85" s="79"/>
      <c r="J85" s="51" t="s">
        <v>556</v>
      </c>
      <c r="K85" s="51" t="s">
        <v>557</v>
      </c>
      <c r="L85" s="51"/>
      <c r="M85" s="69">
        <v>7.99</v>
      </c>
      <c r="N85" s="45">
        <f t="shared" si="0"/>
        <v>1.7663337236534</v>
      </c>
      <c r="O85" s="46">
        <f t="shared" si="1"/>
        <v>15.08449</v>
      </c>
      <c r="P85" s="70">
        <f t="shared" si="2"/>
        <v>0.221068050519824</v>
      </c>
      <c r="Q85" s="45">
        <f t="shared" si="3"/>
        <v>2.15275058548009</v>
      </c>
      <c r="R85" s="46">
        <f t="shared" si="4"/>
        <v>18.38449</v>
      </c>
      <c r="S85" s="71">
        <f t="shared" si="5"/>
        <v>0.269430611449323</v>
      </c>
      <c r="T85" s="72" t="s">
        <v>61</v>
      </c>
      <c r="U85" s="72">
        <v>8.54</v>
      </c>
      <c r="V85" s="50">
        <v>0.2</v>
      </c>
      <c r="W85" s="50">
        <v>0.15</v>
      </c>
      <c r="X85" s="44">
        <v>30</v>
      </c>
      <c r="Y85" s="44">
        <v>22</v>
      </c>
      <c r="Z85" s="44">
        <v>1</v>
      </c>
      <c r="AA85" s="73">
        <f t="shared" si="14"/>
        <v>0.11</v>
      </c>
      <c r="AB85" s="44">
        <v>0.1</v>
      </c>
      <c r="AC85" s="49">
        <v>45</v>
      </c>
      <c r="AD85" s="49">
        <v>15</v>
      </c>
      <c r="AE85" s="74">
        <v>9.8</v>
      </c>
      <c r="AF85" s="48">
        <f t="shared" si="7"/>
        <v>1.14754098360656</v>
      </c>
      <c r="AG85" s="75">
        <f t="shared" si="8"/>
        <v>4.95</v>
      </c>
      <c r="AH85" s="45">
        <f t="shared" si="9"/>
        <v>0.579625292740047</v>
      </c>
      <c r="AI85" s="45">
        <f t="shared" si="10"/>
        <v>1.65</v>
      </c>
      <c r="AJ85" s="45">
        <f t="shared" si="11"/>
        <v>0.193208430913349</v>
      </c>
      <c r="AK85" s="48">
        <f t="shared" si="12"/>
        <v>1.1985</v>
      </c>
      <c r="AL85" s="44">
        <v>1.7</v>
      </c>
      <c r="AM85" s="45">
        <f t="shared" si="13"/>
        <v>1.598</v>
      </c>
      <c r="AN85" s="76">
        <v>0</v>
      </c>
      <c r="AO85" s="45"/>
      <c r="AP85" s="46"/>
      <c r="AQ85" s="45">
        <v>0</v>
      </c>
      <c r="AR85" s="51" t="s">
        <v>558</v>
      </c>
      <c r="AS85" s="52" t="s">
        <v>559</v>
      </c>
      <c r="AT85" s="106">
        <v>4202990090</v>
      </c>
      <c r="AU85" s="95" t="s">
        <v>256</v>
      </c>
      <c r="AV85" s="95" t="s">
        <v>560</v>
      </c>
      <c r="AW85" s="95" t="s">
        <v>561</v>
      </c>
      <c r="AX85" s="52" t="s">
        <v>562</v>
      </c>
    </row>
    <row r="86" s="4" customFormat="1" ht="79" customHeight="1" spans="1:50">
      <c r="A86" s="40">
        <v>83</v>
      </c>
      <c r="B86" s="37">
        <v>46175</v>
      </c>
      <c r="C86" s="38" t="s">
        <v>564</v>
      </c>
      <c r="D86" s="39">
        <v>2561466</v>
      </c>
      <c r="E86" s="40" t="s">
        <v>555</v>
      </c>
      <c r="F86" s="55" t="s">
        <v>205</v>
      </c>
      <c r="G86" s="56"/>
      <c r="H86" s="57" t="s">
        <v>565</v>
      </c>
      <c r="I86" s="79" t="s">
        <v>566</v>
      </c>
      <c r="J86" s="51" t="s">
        <v>567</v>
      </c>
      <c r="K86" s="51" t="s">
        <v>568</v>
      </c>
      <c r="L86" s="51" t="s">
        <v>569</v>
      </c>
      <c r="M86" s="69">
        <v>7.99</v>
      </c>
      <c r="N86" s="45">
        <f t="shared" si="0"/>
        <v>1.74913524590164</v>
      </c>
      <c r="O86" s="46">
        <f t="shared" si="1"/>
        <v>14.937615</v>
      </c>
      <c r="P86" s="70">
        <f t="shared" si="2"/>
        <v>0.218915550175424</v>
      </c>
      <c r="Q86" s="45">
        <f t="shared" si="3"/>
        <v>2.20946896955503</v>
      </c>
      <c r="R86" s="46">
        <f t="shared" si="4"/>
        <v>18.868865</v>
      </c>
      <c r="S86" s="71">
        <f t="shared" si="5"/>
        <v>0.276529282797877</v>
      </c>
      <c r="T86" s="72" t="s">
        <v>61</v>
      </c>
      <c r="U86" s="72">
        <v>8.54</v>
      </c>
      <c r="V86" s="50">
        <v>0.2</v>
      </c>
      <c r="W86" s="50">
        <v>0.15</v>
      </c>
      <c r="X86" s="44">
        <v>18.5</v>
      </c>
      <c r="Y86" s="44">
        <v>17</v>
      </c>
      <c r="Z86" s="44">
        <v>2.5</v>
      </c>
      <c r="AA86" s="73">
        <f t="shared" si="14"/>
        <v>0.131041666666667</v>
      </c>
      <c r="AB86" s="44">
        <v>0.1</v>
      </c>
      <c r="AC86" s="49">
        <v>45</v>
      </c>
      <c r="AD86" s="49">
        <v>15</v>
      </c>
      <c r="AE86" s="74">
        <v>9</v>
      </c>
      <c r="AF86" s="48">
        <f t="shared" si="7"/>
        <v>1.05386416861827</v>
      </c>
      <c r="AG86" s="75">
        <f t="shared" si="8"/>
        <v>5.89687500000001</v>
      </c>
      <c r="AH86" s="45">
        <f t="shared" si="9"/>
        <v>0.690500585480096</v>
      </c>
      <c r="AI86" s="45">
        <f t="shared" si="10"/>
        <v>1.96562500000001</v>
      </c>
      <c r="AJ86" s="45">
        <f t="shared" si="11"/>
        <v>0.230166861826699</v>
      </c>
      <c r="AK86" s="48">
        <f t="shared" si="12"/>
        <v>1.1985</v>
      </c>
      <c r="AL86" s="44">
        <v>1.7</v>
      </c>
      <c r="AM86" s="45">
        <f t="shared" si="13"/>
        <v>1.598</v>
      </c>
      <c r="AN86" s="76">
        <v>0</v>
      </c>
      <c r="AO86" s="45"/>
      <c r="AP86" s="46"/>
      <c r="AQ86" s="45">
        <v>0</v>
      </c>
      <c r="AR86" s="51" t="s">
        <v>570</v>
      </c>
      <c r="AS86" s="52" t="s">
        <v>571</v>
      </c>
      <c r="AT86" s="106">
        <v>3926909790</v>
      </c>
      <c r="AU86" s="106" t="s">
        <v>112</v>
      </c>
      <c r="AV86" s="106" t="s">
        <v>440</v>
      </c>
      <c r="AW86" s="106" t="s">
        <v>441</v>
      </c>
      <c r="AX86" s="52"/>
    </row>
    <row r="87" s="4" customFormat="1" ht="79" customHeight="1" spans="1:50">
      <c r="A87" s="40">
        <v>84</v>
      </c>
      <c r="B87" s="37">
        <v>46175</v>
      </c>
      <c r="C87" s="38" t="s">
        <v>572</v>
      </c>
      <c r="D87" s="39">
        <v>2561467</v>
      </c>
      <c r="E87" s="40" t="s">
        <v>555</v>
      </c>
      <c r="F87" s="78" t="s">
        <v>69</v>
      </c>
      <c r="G87" s="56">
        <v>6.99</v>
      </c>
      <c r="H87" s="57" t="s">
        <v>573</v>
      </c>
      <c r="I87" s="79" t="s">
        <v>566</v>
      </c>
      <c r="J87" s="51" t="s">
        <v>574</v>
      </c>
      <c r="K87" s="51" t="s">
        <v>575</v>
      </c>
      <c r="L87" s="51"/>
      <c r="M87" s="69">
        <v>5.99</v>
      </c>
      <c r="N87" s="45">
        <f t="shared" si="0"/>
        <v>1.27033840749414</v>
      </c>
      <c r="O87" s="46">
        <f t="shared" si="1"/>
        <v>10.84869</v>
      </c>
      <c r="P87" s="70">
        <f t="shared" si="2"/>
        <v>0.212076528797019</v>
      </c>
      <c r="Q87" s="45">
        <f t="shared" si="3"/>
        <v>1.64972950819672</v>
      </c>
      <c r="R87" s="46">
        <f t="shared" si="4"/>
        <v>14.08869</v>
      </c>
      <c r="S87" s="71">
        <f t="shared" si="5"/>
        <v>0.275413941268234</v>
      </c>
      <c r="T87" s="72" t="s">
        <v>61</v>
      </c>
      <c r="U87" s="72">
        <v>8.54</v>
      </c>
      <c r="V87" s="50">
        <v>0.2</v>
      </c>
      <c r="W87" s="50">
        <v>0.15</v>
      </c>
      <c r="X87" s="44">
        <v>18</v>
      </c>
      <c r="Y87" s="44">
        <v>15</v>
      </c>
      <c r="Z87" s="44">
        <v>2.4</v>
      </c>
      <c r="AA87" s="73">
        <f t="shared" si="14"/>
        <v>0.108</v>
      </c>
      <c r="AB87" s="44">
        <v>0.08</v>
      </c>
      <c r="AC87" s="49">
        <v>45</v>
      </c>
      <c r="AD87" s="49">
        <v>15</v>
      </c>
      <c r="AE87" s="74">
        <v>3.28</v>
      </c>
      <c r="AF87" s="48">
        <f t="shared" si="7"/>
        <v>0.384074941451991</v>
      </c>
      <c r="AG87" s="75">
        <f t="shared" si="8"/>
        <v>4.86</v>
      </c>
      <c r="AH87" s="45">
        <f t="shared" si="9"/>
        <v>0.569086651053864</v>
      </c>
      <c r="AI87" s="45">
        <f t="shared" si="10"/>
        <v>1.62</v>
      </c>
      <c r="AJ87" s="45">
        <f t="shared" si="11"/>
        <v>0.189695550351288</v>
      </c>
      <c r="AK87" s="48">
        <f t="shared" si="12"/>
        <v>0.8985</v>
      </c>
      <c r="AL87" s="44">
        <v>1.67</v>
      </c>
      <c r="AM87" s="45">
        <f t="shared" si="13"/>
        <v>1.198</v>
      </c>
      <c r="AN87" s="76">
        <v>0</v>
      </c>
      <c r="AO87" s="45"/>
      <c r="AP87" s="46"/>
      <c r="AQ87" s="45">
        <v>0</v>
      </c>
      <c r="AR87" s="51" t="s">
        <v>576</v>
      </c>
      <c r="AS87" s="52" t="s">
        <v>577</v>
      </c>
      <c r="AT87" s="106">
        <v>3926909790</v>
      </c>
      <c r="AU87" s="106" t="s">
        <v>112</v>
      </c>
      <c r="AV87" s="106" t="s">
        <v>440</v>
      </c>
      <c r="AW87" s="106" t="s">
        <v>441</v>
      </c>
      <c r="AX87" s="52"/>
    </row>
    <row r="88" s="4" customFormat="1" ht="79" customHeight="1" spans="1:50">
      <c r="A88" s="40">
        <v>85</v>
      </c>
      <c r="B88" s="37">
        <v>46175</v>
      </c>
      <c r="C88" s="38" t="s">
        <v>578</v>
      </c>
      <c r="D88" s="39">
        <v>2561468</v>
      </c>
      <c r="E88" s="40" t="s">
        <v>555</v>
      </c>
      <c r="F88" s="78" t="s">
        <v>579</v>
      </c>
      <c r="G88" s="56">
        <v>6.99</v>
      </c>
      <c r="H88" s="57" t="s">
        <v>580</v>
      </c>
      <c r="I88" s="79" t="s">
        <v>566</v>
      </c>
      <c r="J88" s="51" t="s">
        <v>574</v>
      </c>
      <c r="K88" s="51" t="s">
        <v>575</v>
      </c>
      <c r="L88" s="51"/>
      <c r="M88" s="69">
        <v>5.99</v>
      </c>
      <c r="N88" s="45">
        <f t="shared" si="0"/>
        <v>1.27033840749414</v>
      </c>
      <c r="O88" s="46">
        <f t="shared" si="1"/>
        <v>10.84869</v>
      </c>
      <c r="P88" s="70">
        <f t="shared" si="2"/>
        <v>0.212076528797019</v>
      </c>
      <c r="Q88" s="45">
        <f t="shared" si="3"/>
        <v>1.64972950819672</v>
      </c>
      <c r="R88" s="46">
        <f t="shared" si="4"/>
        <v>14.08869</v>
      </c>
      <c r="S88" s="71">
        <f t="shared" si="5"/>
        <v>0.275413941268234</v>
      </c>
      <c r="T88" s="72" t="s">
        <v>61</v>
      </c>
      <c r="U88" s="72">
        <v>8.54</v>
      </c>
      <c r="V88" s="50">
        <v>0.2</v>
      </c>
      <c r="W88" s="50">
        <v>0.15</v>
      </c>
      <c r="X88" s="44">
        <v>18</v>
      </c>
      <c r="Y88" s="44">
        <v>15</v>
      </c>
      <c r="Z88" s="44">
        <v>2.4</v>
      </c>
      <c r="AA88" s="73">
        <f t="shared" si="14"/>
        <v>0.108</v>
      </c>
      <c r="AB88" s="44">
        <v>0.08</v>
      </c>
      <c r="AC88" s="49">
        <v>45</v>
      </c>
      <c r="AD88" s="49">
        <v>15</v>
      </c>
      <c r="AE88" s="74">
        <v>3.28</v>
      </c>
      <c r="AF88" s="48">
        <f t="shared" si="7"/>
        <v>0.384074941451991</v>
      </c>
      <c r="AG88" s="75">
        <f t="shared" si="8"/>
        <v>4.86</v>
      </c>
      <c r="AH88" s="45">
        <f t="shared" si="9"/>
        <v>0.569086651053864</v>
      </c>
      <c r="AI88" s="45">
        <f t="shared" si="10"/>
        <v>1.62</v>
      </c>
      <c r="AJ88" s="45">
        <f t="shared" si="11"/>
        <v>0.189695550351288</v>
      </c>
      <c r="AK88" s="48">
        <f t="shared" si="12"/>
        <v>0.8985</v>
      </c>
      <c r="AL88" s="44">
        <v>1.67</v>
      </c>
      <c r="AM88" s="45">
        <f t="shared" si="13"/>
        <v>1.198</v>
      </c>
      <c r="AN88" s="76">
        <v>0</v>
      </c>
      <c r="AO88" s="45"/>
      <c r="AP88" s="46"/>
      <c r="AQ88" s="45">
        <v>0</v>
      </c>
      <c r="AR88" s="51" t="s">
        <v>576</v>
      </c>
      <c r="AS88" s="52" t="s">
        <v>577</v>
      </c>
      <c r="AT88" s="106">
        <v>3926909790</v>
      </c>
      <c r="AU88" s="106" t="s">
        <v>112</v>
      </c>
      <c r="AV88" s="106" t="s">
        <v>440</v>
      </c>
      <c r="AW88" s="106" t="s">
        <v>441</v>
      </c>
      <c r="AX88" s="52"/>
    </row>
    <row r="89" s="4" customFormat="1" ht="79" customHeight="1" spans="1:50">
      <c r="A89" s="40">
        <v>86</v>
      </c>
      <c r="B89" s="37">
        <v>46175</v>
      </c>
      <c r="C89" s="38" t="s">
        <v>581</v>
      </c>
      <c r="D89" s="39">
        <v>2561469</v>
      </c>
      <c r="E89" s="40" t="s">
        <v>555</v>
      </c>
      <c r="F89" s="78" t="s">
        <v>74</v>
      </c>
      <c r="G89" s="56"/>
      <c r="H89" s="57" t="s">
        <v>582</v>
      </c>
      <c r="I89" s="79" t="s">
        <v>566</v>
      </c>
      <c r="J89" s="51" t="s">
        <v>583</v>
      </c>
      <c r="K89" s="51" t="s">
        <v>584</v>
      </c>
      <c r="L89" s="51" t="s">
        <v>585</v>
      </c>
      <c r="M89" s="69">
        <v>9.99</v>
      </c>
      <c r="N89" s="45">
        <f t="shared" si="0"/>
        <v>2.01317944964871</v>
      </c>
      <c r="O89" s="46">
        <f t="shared" si="1"/>
        <v>17.1925525</v>
      </c>
      <c r="P89" s="70">
        <f t="shared" si="2"/>
        <v>0.2015194644293</v>
      </c>
      <c r="Q89" s="45">
        <f t="shared" si="3"/>
        <v>2.27320579625293</v>
      </c>
      <c r="R89" s="46">
        <f t="shared" si="4"/>
        <v>19.4131775</v>
      </c>
      <c r="S89" s="71">
        <f t="shared" si="5"/>
        <v>0.227548127753046</v>
      </c>
      <c r="T89" s="72" t="s">
        <v>61</v>
      </c>
      <c r="U89" s="72">
        <v>8.54</v>
      </c>
      <c r="V89" s="50">
        <v>0.2</v>
      </c>
      <c r="W89" s="50">
        <v>0.15</v>
      </c>
      <c r="X89" s="44">
        <v>9.5</v>
      </c>
      <c r="Y89" s="44">
        <v>8.5</v>
      </c>
      <c r="Z89" s="44">
        <v>5.5</v>
      </c>
      <c r="AA89" s="73">
        <f t="shared" si="14"/>
        <v>0.0740208333333333</v>
      </c>
      <c r="AB89" s="44">
        <v>0.03</v>
      </c>
      <c r="AC89" s="49">
        <v>45</v>
      </c>
      <c r="AD89" s="49">
        <v>15</v>
      </c>
      <c r="AE89" s="74">
        <v>12.3</v>
      </c>
      <c r="AF89" s="48">
        <f t="shared" si="7"/>
        <v>1.44028103044497</v>
      </c>
      <c r="AG89" s="75">
        <f t="shared" si="8"/>
        <v>3.3309375</v>
      </c>
      <c r="AH89" s="45">
        <f t="shared" si="9"/>
        <v>0.390039519906323</v>
      </c>
      <c r="AI89" s="45">
        <f t="shared" si="10"/>
        <v>1.1103125</v>
      </c>
      <c r="AJ89" s="45">
        <f t="shared" si="11"/>
        <v>0.130013173302108</v>
      </c>
      <c r="AK89" s="48">
        <f t="shared" si="12"/>
        <v>1.4985</v>
      </c>
      <c r="AL89" s="44">
        <v>2.65</v>
      </c>
      <c r="AM89" s="45">
        <f t="shared" si="13"/>
        <v>1.998</v>
      </c>
      <c r="AN89" s="76">
        <v>0</v>
      </c>
      <c r="AO89" s="45"/>
      <c r="AP89" s="46"/>
      <c r="AQ89" s="45">
        <v>0</v>
      </c>
      <c r="AR89" s="51" t="s">
        <v>586</v>
      </c>
      <c r="AS89" s="52" t="s">
        <v>89</v>
      </c>
      <c r="AT89" s="106">
        <v>9503002190</v>
      </c>
      <c r="AU89" s="95" t="s">
        <v>587</v>
      </c>
      <c r="AV89" s="95" t="s">
        <v>588</v>
      </c>
      <c r="AW89" s="95" t="s">
        <v>589</v>
      </c>
      <c r="AX89" s="52"/>
    </row>
    <row r="90" s="4" customFormat="1" ht="79" customHeight="1" spans="1:50">
      <c r="A90" s="40">
        <v>87</v>
      </c>
      <c r="B90" s="37">
        <v>46175</v>
      </c>
      <c r="C90" s="59" t="s">
        <v>590</v>
      </c>
      <c r="D90" s="39">
        <v>2561470</v>
      </c>
      <c r="E90" s="40" t="s">
        <v>555</v>
      </c>
      <c r="F90" s="78" t="s">
        <v>289</v>
      </c>
      <c r="G90" s="56"/>
      <c r="H90" s="57" t="s">
        <v>591</v>
      </c>
      <c r="I90" s="79" t="s">
        <v>566</v>
      </c>
      <c r="J90" s="51" t="s">
        <v>592</v>
      </c>
      <c r="K90" s="51" t="s">
        <v>593</v>
      </c>
      <c r="L90" s="51"/>
      <c r="M90" s="69">
        <v>8.99</v>
      </c>
      <c r="N90" s="45">
        <f t="shared" si="0"/>
        <v>1.71434309133489</v>
      </c>
      <c r="O90" s="46">
        <f t="shared" si="1"/>
        <v>14.64049</v>
      </c>
      <c r="P90" s="70">
        <f t="shared" si="2"/>
        <v>0.190694448424349</v>
      </c>
      <c r="Q90" s="45">
        <f t="shared" si="3"/>
        <v>2.15345316159251</v>
      </c>
      <c r="R90" s="46">
        <f t="shared" si="4"/>
        <v>18.39049</v>
      </c>
      <c r="S90" s="71">
        <f t="shared" si="5"/>
        <v>0.239538727652114</v>
      </c>
      <c r="T90" s="72" t="s">
        <v>61</v>
      </c>
      <c r="U90" s="72">
        <v>8.54</v>
      </c>
      <c r="V90" s="50">
        <v>0.2</v>
      </c>
      <c r="W90" s="50">
        <v>0.15</v>
      </c>
      <c r="X90" s="44">
        <v>20</v>
      </c>
      <c r="Y90" s="44">
        <v>15</v>
      </c>
      <c r="Z90" s="44">
        <v>2.5</v>
      </c>
      <c r="AA90" s="73">
        <f t="shared" si="14"/>
        <v>0.125</v>
      </c>
      <c r="AB90" s="44">
        <v>0.1</v>
      </c>
      <c r="AC90" s="49">
        <v>45</v>
      </c>
      <c r="AD90" s="49">
        <v>15</v>
      </c>
      <c r="AE90" s="74">
        <v>15.12</v>
      </c>
      <c r="AF90" s="48">
        <f t="shared" si="7"/>
        <v>1.77049180327869</v>
      </c>
      <c r="AG90" s="75">
        <f t="shared" si="8"/>
        <v>5.625</v>
      </c>
      <c r="AH90" s="45">
        <f t="shared" si="9"/>
        <v>0.658665105386417</v>
      </c>
      <c r="AI90" s="45">
        <f t="shared" si="10"/>
        <v>1.875</v>
      </c>
      <c r="AJ90" s="45">
        <f t="shared" si="11"/>
        <v>0.219555035128806</v>
      </c>
      <c r="AK90" s="48">
        <f t="shared" si="12"/>
        <v>1.3485</v>
      </c>
      <c r="AL90" s="44">
        <v>1.7</v>
      </c>
      <c r="AM90" s="45">
        <f t="shared" si="13"/>
        <v>1.798</v>
      </c>
      <c r="AN90" s="76">
        <v>0</v>
      </c>
      <c r="AO90" s="45"/>
      <c r="AP90" s="46"/>
      <c r="AQ90" s="45">
        <v>0</v>
      </c>
      <c r="AR90" s="51" t="s">
        <v>594</v>
      </c>
      <c r="AS90" s="52" t="s">
        <v>595</v>
      </c>
      <c r="AT90" s="106">
        <v>9503009590</v>
      </c>
      <c r="AU90" s="95" t="s">
        <v>596</v>
      </c>
      <c r="AV90" s="95" t="s">
        <v>597</v>
      </c>
      <c r="AW90" s="95" t="s">
        <v>465</v>
      </c>
      <c r="AX90" s="52"/>
    </row>
    <row r="91" s="4" customFormat="1" ht="79" customHeight="1" spans="1:50">
      <c r="A91" s="40">
        <v>88</v>
      </c>
      <c r="B91" s="37">
        <v>46175</v>
      </c>
      <c r="C91" s="38" t="s">
        <v>598</v>
      </c>
      <c r="D91" s="39">
        <v>2561471</v>
      </c>
      <c r="E91" s="40" t="s">
        <v>555</v>
      </c>
      <c r="F91" s="55"/>
      <c r="G91" s="56"/>
      <c r="H91" s="57" t="s">
        <v>599</v>
      </c>
      <c r="I91" s="79"/>
      <c r="J91" s="51" t="s">
        <v>600</v>
      </c>
      <c r="K91" s="51" t="s">
        <v>601</v>
      </c>
      <c r="L91" s="51"/>
      <c r="M91" s="69">
        <v>11.99</v>
      </c>
      <c r="N91" s="45">
        <f t="shared" si="0"/>
        <v>2.79098243559719</v>
      </c>
      <c r="O91" s="46">
        <f t="shared" si="1"/>
        <v>23.83499</v>
      </c>
      <c r="P91" s="70">
        <f t="shared" si="2"/>
        <v>0.232775849507689</v>
      </c>
      <c r="Q91" s="45">
        <f t="shared" si="3"/>
        <v>3.78922599531616</v>
      </c>
      <c r="R91" s="46">
        <f t="shared" si="4"/>
        <v>32.35999</v>
      </c>
      <c r="S91" s="71">
        <f t="shared" si="5"/>
        <v>0.316032193103933</v>
      </c>
      <c r="T91" s="72" t="s">
        <v>61</v>
      </c>
      <c r="U91" s="72">
        <v>8.54</v>
      </c>
      <c r="V91" s="50">
        <v>0.2</v>
      </c>
      <c r="W91" s="50">
        <v>0.15</v>
      </c>
      <c r="X91" s="44">
        <v>31</v>
      </c>
      <c r="Y91" s="44">
        <v>22</v>
      </c>
      <c r="Z91" s="44">
        <v>2.5</v>
      </c>
      <c r="AA91" s="73">
        <f t="shared" si="14"/>
        <v>0.284166666666667</v>
      </c>
      <c r="AB91" s="44">
        <v>0.2</v>
      </c>
      <c r="AC91" s="49">
        <v>45</v>
      </c>
      <c r="AD91" s="49">
        <v>15</v>
      </c>
      <c r="AE91" s="74">
        <v>12</v>
      </c>
      <c r="AF91" s="48">
        <f t="shared" si="7"/>
        <v>1.40515222482436</v>
      </c>
      <c r="AG91" s="75">
        <f t="shared" si="8"/>
        <v>12.7875</v>
      </c>
      <c r="AH91" s="45">
        <f t="shared" si="9"/>
        <v>1.49736533957846</v>
      </c>
      <c r="AI91" s="45">
        <f t="shared" si="10"/>
        <v>4.26250000000001</v>
      </c>
      <c r="AJ91" s="45">
        <f t="shared" si="11"/>
        <v>0.499121779859485</v>
      </c>
      <c r="AK91" s="48">
        <f t="shared" si="12"/>
        <v>1.7985</v>
      </c>
      <c r="AL91" s="44">
        <v>2.1</v>
      </c>
      <c r="AM91" s="45">
        <f t="shared" si="13"/>
        <v>2.398</v>
      </c>
      <c r="AN91" s="76">
        <v>0</v>
      </c>
      <c r="AO91" s="45"/>
      <c r="AP91" s="46"/>
      <c r="AQ91" s="45">
        <v>0</v>
      </c>
      <c r="AR91" s="51" t="s">
        <v>602</v>
      </c>
      <c r="AS91" s="52" t="s">
        <v>603</v>
      </c>
      <c r="AT91" s="106">
        <v>4202929110</v>
      </c>
      <c r="AU91" s="95" t="s">
        <v>604</v>
      </c>
      <c r="AV91" s="95" t="s">
        <v>605</v>
      </c>
      <c r="AW91" s="95" t="s">
        <v>606</v>
      </c>
      <c r="AX91" s="52"/>
    </row>
    <row r="92" s="4" customFormat="1" ht="79" customHeight="1" spans="1:50">
      <c r="A92" s="40">
        <v>89</v>
      </c>
      <c r="B92" s="37">
        <v>46175</v>
      </c>
      <c r="C92" s="38" t="s">
        <v>607</v>
      </c>
      <c r="D92" s="39">
        <v>2561472</v>
      </c>
      <c r="E92" s="40" t="s">
        <v>555</v>
      </c>
      <c r="F92" s="55" t="s">
        <v>205</v>
      </c>
      <c r="G92" s="56"/>
      <c r="H92" s="57" t="s">
        <v>608</v>
      </c>
      <c r="I92" s="79"/>
      <c r="J92" s="51" t="s">
        <v>609</v>
      </c>
      <c r="K92" s="51" t="s">
        <v>610</v>
      </c>
      <c r="L92" s="51"/>
      <c r="M92" s="69">
        <v>5.99</v>
      </c>
      <c r="N92" s="45">
        <f t="shared" si="0"/>
        <v>1.59626346604215</v>
      </c>
      <c r="O92" s="46">
        <f t="shared" si="1"/>
        <v>13.63209</v>
      </c>
      <c r="P92" s="70">
        <f t="shared" si="2"/>
        <v>0.266488057769976</v>
      </c>
      <c r="Q92" s="45">
        <f t="shared" si="3"/>
        <v>1.66652107728337</v>
      </c>
      <c r="R92" s="46">
        <f t="shared" si="4"/>
        <v>14.23209</v>
      </c>
      <c r="S92" s="71">
        <f t="shared" si="5"/>
        <v>0.278217208227608</v>
      </c>
      <c r="T92" s="72" t="s">
        <v>61</v>
      </c>
      <c r="U92" s="72">
        <v>8.54</v>
      </c>
      <c r="V92" s="50">
        <v>0.2</v>
      </c>
      <c r="W92" s="50">
        <v>0.15</v>
      </c>
      <c r="X92" s="44">
        <v>10</v>
      </c>
      <c r="Y92" s="44">
        <v>8</v>
      </c>
      <c r="Z92" s="44">
        <v>1</v>
      </c>
      <c r="AA92" s="73">
        <f t="shared" si="14"/>
        <v>0.0133333333333333</v>
      </c>
      <c r="AB92" s="44">
        <v>0.02</v>
      </c>
      <c r="AC92" s="49">
        <v>45</v>
      </c>
      <c r="AD92" s="49">
        <v>15</v>
      </c>
      <c r="AE92" s="74">
        <v>6.25</v>
      </c>
      <c r="AF92" s="48">
        <f t="shared" si="7"/>
        <v>0.731850117096019</v>
      </c>
      <c r="AG92" s="75">
        <f t="shared" si="8"/>
        <v>0.9</v>
      </c>
      <c r="AH92" s="45">
        <f t="shared" si="9"/>
        <v>0.105386416861827</v>
      </c>
      <c r="AI92" s="45">
        <f t="shared" si="10"/>
        <v>0.3</v>
      </c>
      <c r="AJ92" s="45">
        <f t="shared" si="11"/>
        <v>0.0351288056206089</v>
      </c>
      <c r="AK92" s="48">
        <f t="shared" si="12"/>
        <v>0.8985</v>
      </c>
      <c r="AL92" s="44">
        <v>1.46</v>
      </c>
      <c r="AM92" s="45">
        <f t="shared" si="13"/>
        <v>1.198</v>
      </c>
      <c r="AN92" s="76">
        <v>0</v>
      </c>
      <c r="AO92" s="45"/>
      <c r="AP92" s="46"/>
      <c r="AQ92" s="45">
        <v>0</v>
      </c>
      <c r="AR92" s="51" t="s">
        <v>611</v>
      </c>
      <c r="AS92" s="52" t="s">
        <v>612</v>
      </c>
      <c r="AT92" s="106">
        <v>4909000000</v>
      </c>
      <c r="AU92" s="95" t="s">
        <v>90</v>
      </c>
      <c r="AV92" s="95" t="s">
        <v>91</v>
      </c>
      <c r="AW92" s="95" t="s">
        <v>613</v>
      </c>
      <c r="AX92" s="52"/>
    </row>
    <row r="93" s="4" customFormat="1" ht="79" customHeight="1" spans="1:50">
      <c r="A93" s="40">
        <v>90</v>
      </c>
      <c r="B93" s="37">
        <v>46175</v>
      </c>
      <c r="C93" s="38" t="s">
        <v>614</v>
      </c>
      <c r="D93" s="39">
        <v>2561473</v>
      </c>
      <c r="E93" s="40" t="s">
        <v>555</v>
      </c>
      <c r="F93" s="78" t="s">
        <v>69</v>
      </c>
      <c r="G93" s="56"/>
      <c r="H93" s="57" t="s">
        <v>615</v>
      </c>
      <c r="I93" s="79"/>
      <c r="J93" s="51" t="s">
        <v>616</v>
      </c>
      <c r="K93" s="51" t="s">
        <v>617</v>
      </c>
      <c r="L93" s="51"/>
      <c r="M93" s="69">
        <v>5.99</v>
      </c>
      <c r="N93" s="45">
        <f t="shared" si="0"/>
        <v>1.48502224824356</v>
      </c>
      <c r="O93" s="46">
        <f t="shared" si="1"/>
        <v>12.68209</v>
      </c>
      <c r="P93" s="70">
        <f t="shared" si="2"/>
        <v>0.247916902878725</v>
      </c>
      <c r="Q93" s="45">
        <f t="shared" si="3"/>
        <v>1.55527985948478</v>
      </c>
      <c r="R93" s="46">
        <f t="shared" si="4"/>
        <v>13.28209</v>
      </c>
      <c r="S93" s="71">
        <f t="shared" si="5"/>
        <v>0.259646053336357</v>
      </c>
      <c r="T93" s="72" t="s">
        <v>61</v>
      </c>
      <c r="U93" s="72">
        <v>8.54</v>
      </c>
      <c r="V93" s="50">
        <v>0.2</v>
      </c>
      <c r="W93" s="50">
        <v>0.15</v>
      </c>
      <c r="X93" s="44">
        <v>9</v>
      </c>
      <c r="Y93" s="44">
        <v>9</v>
      </c>
      <c r="Z93" s="44">
        <v>1.2</v>
      </c>
      <c r="AA93" s="73">
        <f t="shared" si="14"/>
        <v>0.0162</v>
      </c>
      <c r="AB93" s="44">
        <v>0.02</v>
      </c>
      <c r="AC93" s="49">
        <v>45</v>
      </c>
      <c r="AD93" s="49">
        <v>15</v>
      </c>
      <c r="AE93" s="74">
        <v>7.2</v>
      </c>
      <c r="AF93" s="48">
        <f t="shared" si="7"/>
        <v>0.843091334894614</v>
      </c>
      <c r="AG93" s="75">
        <f t="shared" si="8"/>
        <v>0.9</v>
      </c>
      <c r="AH93" s="45">
        <f t="shared" si="9"/>
        <v>0.105386416861827</v>
      </c>
      <c r="AI93" s="45">
        <f t="shared" si="10"/>
        <v>0.3</v>
      </c>
      <c r="AJ93" s="45">
        <f t="shared" si="11"/>
        <v>0.0351288056206089</v>
      </c>
      <c r="AK93" s="48">
        <f t="shared" si="12"/>
        <v>0.8985</v>
      </c>
      <c r="AL93" s="44">
        <v>1.46</v>
      </c>
      <c r="AM93" s="45">
        <f t="shared" si="13"/>
        <v>1.198</v>
      </c>
      <c r="AN93" s="76">
        <v>0</v>
      </c>
      <c r="AO93" s="45"/>
      <c r="AP93" s="46"/>
      <c r="AQ93" s="45">
        <v>0</v>
      </c>
      <c r="AR93" s="51" t="s">
        <v>618</v>
      </c>
      <c r="AS93" s="52" t="s">
        <v>619</v>
      </c>
      <c r="AT93" s="106">
        <v>7116201100</v>
      </c>
      <c r="AU93" s="95" t="s">
        <v>82</v>
      </c>
      <c r="AV93" s="95" t="s">
        <v>83</v>
      </c>
      <c r="AW93" s="95" t="s">
        <v>620</v>
      </c>
      <c r="AX93" s="52"/>
    </row>
    <row r="94" s="4" customFormat="1" ht="79" customHeight="1" spans="1:50">
      <c r="A94" s="40">
        <v>91</v>
      </c>
      <c r="B94" s="37">
        <v>46175</v>
      </c>
      <c r="C94" s="38" t="s">
        <v>621</v>
      </c>
      <c r="D94" s="39">
        <v>2561474</v>
      </c>
      <c r="E94" s="40" t="s">
        <v>555</v>
      </c>
      <c r="F94" s="55"/>
      <c r="G94" s="56"/>
      <c r="H94" s="57" t="s">
        <v>615</v>
      </c>
      <c r="I94" s="79"/>
      <c r="J94" s="51" t="s">
        <v>616</v>
      </c>
      <c r="K94" s="51" t="s">
        <v>617</v>
      </c>
      <c r="L94" s="51"/>
      <c r="M94" s="69">
        <v>5.99</v>
      </c>
      <c r="N94" s="45">
        <f t="shared" si="0"/>
        <v>1.48502224824356</v>
      </c>
      <c r="O94" s="46">
        <f t="shared" si="1"/>
        <v>12.68209</v>
      </c>
      <c r="P94" s="70">
        <f t="shared" si="2"/>
        <v>0.247916902878725</v>
      </c>
      <c r="Q94" s="45">
        <f t="shared" si="3"/>
        <v>1.55527985948478</v>
      </c>
      <c r="R94" s="46">
        <f t="shared" si="4"/>
        <v>13.28209</v>
      </c>
      <c r="S94" s="71">
        <f t="shared" si="5"/>
        <v>0.259646053336357</v>
      </c>
      <c r="T94" s="72" t="s">
        <v>61</v>
      </c>
      <c r="U94" s="72">
        <v>8.54</v>
      </c>
      <c r="V94" s="50">
        <v>0.2</v>
      </c>
      <c r="W94" s="50">
        <v>0.15</v>
      </c>
      <c r="X94" s="44">
        <v>9</v>
      </c>
      <c r="Y94" s="44">
        <v>9</v>
      </c>
      <c r="Z94" s="44">
        <v>1.2</v>
      </c>
      <c r="AA94" s="73">
        <f t="shared" si="14"/>
        <v>0.0162</v>
      </c>
      <c r="AB94" s="44">
        <v>0.02</v>
      </c>
      <c r="AC94" s="49">
        <v>45</v>
      </c>
      <c r="AD94" s="49">
        <v>15</v>
      </c>
      <c r="AE94" s="74">
        <v>7.2</v>
      </c>
      <c r="AF94" s="48">
        <f t="shared" si="7"/>
        <v>0.843091334894614</v>
      </c>
      <c r="AG94" s="75">
        <f t="shared" si="8"/>
        <v>0.9</v>
      </c>
      <c r="AH94" s="45">
        <f t="shared" si="9"/>
        <v>0.105386416861827</v>
      </c>
      <c r="AI94" s="45">
        <f t="shared" si="10"/>
        <v>0.3</v>
      </c>
      <c r="AJ94" s="45">
        <f t="shared" si="11"/>
        <v>0.0351288056206089</v>
      </c>
      <c r="AK94" s="48">
        <f t="shared" si="12"/>
        <v>0.8985</v>
      </c>
      <c r="AL94" s="44">
        <v>1.46</v>
      </c>
      <c r="AM94" s="45">
        <f t="shared" si="13"/>
        <v>1.198</v>
      </c>
      <c r="AN94" s="76">
        <v>0</v>
      </c>
      <c r="AO94" s="45"/>
      <c r="AP94" s="46"/>
      <c r="AQ94" s="45">
        <v>0</v>
      </c>
      <c r="AR94" s="51" t="s">
        <v>618</v>
      </c>
      <c r="AS94" s="52" t="s">
        <v>619</v>
      </c>
      <c r="AT94" s="106">
        <v>7116201100</v>
      </c>
      <c r="AU94" s="95" t="s">
        <v>82</v>
      </c>
      <c r="AV94" s="95" t="s">
        <v>83</v>
      </c>
      <c r="AW94" s="95" t="s">
        <v>620</v>
      </c>
      <c r="AX94" s="52"/>
    </row>
    <row r="95" s="4" customFormat="1" ht="79" customHeight="1" spans="1:50">
      <c r="A95" s="40">
        <v>92</v>
      </c>
      <c r="B95" s="37">
        <v>46175</v>
      </c>
      <c r="C95" s="38" t="s">
        <v>622</v>
      </c>
      <c r="D95" s="39">
        <v>2561475</v>
      </c>
      <c r="E95" s="40" t="s">
        <v>555</v>
      </c>
      <c r="F95" s="55"/>
      <c r="G95" s="56"/>
      <c r="H95" s="57" t="s">
        <v>623</v>
      </c>
      <c r="I95" s="79"/>
      <c r="J95" s="51" t="s">
        <v>624</v>
      </c>
      <c r="K95" s="51" t="s">
        <v>625</v>
      </c>
      <c r="L95" s="51"/>
      <c r="M95" s="69">
        <v>11.99</v>
      </c>
      <c r="N95" s="45">
        <f t="shared" si="0"/>
        <v>2.37823067915691</v>
      </c>
      <c r="O95" s="46">
        <f t="shared" si="1"/>
        <v>20.31009</v>
      </c>
      <c r="P95" s="70">
        <f t="shared" si="2"/>
        <v>0.198351182581894</v>
      </c>
      <c r="Q95" s="45">
        <f t="shared" si="3"/>
        <v>3.22132201405152</v>
      </c>
      <c r="R95" s="46">
        <f t="shared" si="4"/>
        <v>27.51009</v>
      </c>
      <c r="S95" s="71">
        <f t="shared" si="5"/>
        <v>0.268667390663179</v>
      </c>
      <c r="T95" s="72" t="s">
        <v>61</v>
      </c>
      <c r="U95" s="72">
        <v>8.54</v>
      </c>
      <c r="V95" s="50">
        <v>0.2</v>
      </c>
      <c r="W95" s="50">
        <v>0.15</v>
      </c>
      <c r="X95" s="44">
        <v>25</v>
      </c>
      <c r="Y95" s="44">
        <v>20</v>
      </c>
      <c r="Z95" s="44">
        <v>2.5</v>
      </c>
      <c r="AA95" s="73">
        <f t="shared" si="14"/>
        <v>0.208333333333333</v>
      </c>
      <c r="AB95" s="44">
        <v>0.24</v>
      </c>
      <c r="AC95" s="49">
        <v>45</v>
      </c>
      <c r="AD95" s="49">
        <v>15</v>
      </c>
      <c r="AE95" s="74">
        <v>17</v>
      </c>
      <c r="AF95" s="48">
        <f t="shared" si="7"/>
        <v>1.99063231850117</v>
      </c>
      <c r="AG95" s="75">
        <f t="shared" si="8"/>
        <v>10.8</v>
      </c>
      <c r="AH95" s="45">
        <f t="shared" si="9"/>
        <v>1.26463700234192</v>
      </c>
      <c r="AI95" s="45">
        <f t="shared" si="10"/>
        <v>3.6</v>
      </c>
      <c r="AJ95" s="45">
        <f t="shared" si="11"/>
        <v>0.421545667447307</v>
      </c>
      <c r="AK95" s="48">
        <f t="shared" si="12"/>
        <v>1.7985</v>
      </c>
      <c r="AL95" s="44">
        <v>2.16</v>
      </c>
      <c r="AM95" s="45">
        <f t="shared" si="13"/>
        <v>2.398</v>
      </c>
      <c r="AN95" s="76">
        <v>0</v>
      </c>
      <c r="AO95" s="45"/>
      <c r="AP95" s="46"/>
      <c r="AQ95" s="45">
        <v>0</v>
      </c>
      <c r="AR95" s="51" t="s">
        <v>626</v>
      </c>
      <c r="AS95" s="52" t="s">
        <v>627</v>
      </c>
      <c r="AT95" s="95">
        <v>8801001010</v>
      </c>
      <c r="AU95" s="95" t="s">
        <v>628</v>
      </c>
      <c r="AV95" s="95" t="s">
        <v>629</v>
      </c>
      <c r="AW95" s="95" t="s">
        <v>630</v>
      </c>
      <c r="AX95" s="52"/>
    </row>
    <row r="96" s="4" customFormat="1" ht="79" customHeight="1" spans="1:50">
      <c r="A96" s="40">
        <v>93</v>
      </c>
      <c r="B96" s="37">
        <v>46175</v>
      </c>
      <c r="C96" s="38" t="s">
        <v>631</v>
      </c>
      <c r="D96" s="39">
        <v>2561476</v>
      </c>
      <c r="E96" s="40" t="s">
        <v>555</v>
      </c>
      <c r="F96" s="55" t="s">
        <v>96</v>
      </c>
      <c r="G96" s="56"/>
      <c r="H96" s="57" t="s">
        <v>632</v>
      </c>
      <c r="I96" s="79" t="s">
        <v>566</v>
      </c>
      <c r="J96" s="51" t="s">
        <v>633</v>
      </c>
      <c r="K96" s="51" t="s">
        <v>634</v>
      </c>
      <c r="L96" s="51" t="s">
        <v>635</v>
      </c>
      <c r="M96" s="69">
        <v>8.99</v>
      </c>
      <c r="N96" s="45">
        <f t="shared" si="0"/>
        <v>2.00663817330211</v>
      </c>
      <c r="O96" s="46">
        <f t="shared" si="1"/>
        <v>17.13669</v>
      </c>
      <c r="P96" s="70">
        <f t="shared" si="2"/>
        <v>0.223207805706575</v>
      </c>
      <c r="Q96" s="45">
        <f t="shared" si="3"/>
        <v>2.3579262295082</v>
      </c>
      <c r="R96" s="46">
        <f t="shared" si="4"/>
        <v>20.13669</v>
      </c>
      <c r="S96" s="71">
        <f t="shared" si="5"/>
        <v>0.262283229088787</v>
      </c>
      <c r="T96" s="72" t="s">
        <v>61</v>
      </c>
      <c r="U96" s="72">
        <v>8.54</v>
      </c>
      <c r="V96" s="50">
        <v>0.2</v>
      </c>
      <c r="W96" s="50">
        <v>0.15</v>
      </c>
      <c r="X96" s="44">
        <v>14</v>
      </c>
      <c r="Y96" s="44">
        <v>10.5</v>
      </c>
      <c r="Z96" s="44">
        <v>3.5</v>
      </c>
      <c r="AA96" s="73">
        <f t="shared" si="14"/>
        <v>0.08575</v>
      </c>
      <c r="AB96" s="44">
        <v>0.1</v>
      </c>
      <c r="AC96" s="49">
        <v>45</v>
      </c>
      <c r="AD96" s="49">
        <v>15</v>
      </c>
      <c r="AE96" s="74">
        <v>7.6</v>
      </c>
      <c r="AF96" s="48">
        <f t="shared" si="7"/>
        <v>0.889929742388759</v>
      </c>
      <c r="AG96" s="75">
        <f t="shared" si="8"/>
        <v>4.5</v>
      </c>
      <c r="AH96" s="45">
        <f t="shared" si="9"/>
        <v>0.526932084309134</v>
      </c>
      <c r="AI96" s="45">
        <f t="shared" si="10"/>
        <v>1.5</v>
      </c>
      <c r="AJ96" s="45">
        <f t="shared" si="11"/>
        <v>0.175644028103045</v>
      </c>
      <c r="AK96" s="48">
        <f t="shared" si="12"/>
        <v>1.3485</v>
      </c>
      <c r="AL96" s="44">
        <v>2.42</v>
      </c>
      <c r="AM96" s="45">
        <f t="shared" si="13"/>
        <v>1.798</v>
      </c>
      <c r="AN96" s="76">
        <v>0</v>
      </c>
      <c r="AO96" s="45"/>
      <c r="AP96" s="46"/>
      <c r="AQ96" s="45">
        <v>0</v>
      </c>
      <c r="AR96" s="51" t="s">
        <v>636</v>
      </c>
      <c r="AS96" s="52" t="s">
        <v>637</v>
      </c>
      <c r="AT96" s="106">
        <v>8306100000</v>
      </c>
      <c r="AU96" s="95" t="s">
        <v>112</v>
      </c>
      <c r="AV96" s="95" t="s">
        <v>638</v>
      </c>
      <c r="AW96" s="95" t="s">
        <v>639</v>
      </c>
      <c r="AX96" s="52"/>
    </row>
    <row r="97" s="4" customFormat="1" ht="79" customHeight="1" spans="1:50">
      <c r="A97" s="40">
        <v>94</v>
      </c>
      <c r="B97" s="37">
        <v>46175</v>
      </c>
      <c r="C97" s="38" t="s">
        <v>640</v>
      </c>
      <c r="D97" s="39">
        <v>2561477</v>
      </c>
      <c r="E97" s="40" t="s">
        <v>555</v>
      </c>
      <c r="F97" s="55" t="s">
        <v>69</v>
      </c>
      <c r="G97" s="56"/>
      <c r="H97" s="57" t="s">
        <v>632</v>
      </c>
      <c r="I97" s="79" t="s">
        <v>566</v>
      </c>
      <c r="J97" s="51" t="s">
        <v>641</v>
      </c>
      <c r="K97" s="51" t="s">
        <v>642</v>
      </c>
      <c r="L97" s="51"/>
      <c r="M97" s="69">
        <v>8.99</v>
      </c>
      <c r="N97" s="45">
        <f t="shared" si="0"/>
        <v>2.11202459016393</v>
      </c>
      <c r="O97" s="46">
        <f t="shared" si="1"/>
        <v>18.03669</v>
      </c>
      <c r="P97" s="70">
        <f t="shared" si="2"/>
        <v>0.234930432721239</v>
      </c>
      <c r="Q97" s="45">
        <f t="shared" si="3"/>
        <v>2.39305503512881</v>
      </c>
      <c r="R97" s="46">
        <f t="shared" si="4"/>
        <v>20.43669</v>
      </c>
      <c r="S97" s="71">
        <f t="shared" si="5"/>
        <v>0.266190771427008</v>
      </c>
      <c r="T97" s="72" t="s">
        <v>61</v>
      </c>
      <c r="U97" s="72">
        <v>8.54</v>
      </c>
      <c r="V97" s="50">
        <v>0.2</v>
      </c>
      <c r="W97" s="50">
        <v>0.15</v>
      </c>
      <c r="X97" s="44">
        <v>8.5</v>
      </c>
      <c r="Y97" s="44">
        <v>7</v>
      </c>
      <c r="Z97" s="44">
        <v>3.5</v>
      </c>
      <c r="AA97" s="73">
        <f t="shared" si="14"/>
        <v>0.0347083333333333</v>
      </c>
      <c r="AB97" s="44">
        <v>0.08</v>
      </c>
      <c r="AC97" s="49">
        <v>45</v>
      </c>
      <c r="AD97" s="49">
        <v>15</v>
      </c>
      <c r="AE97" s="74">
        <v>7.6</v>
      </c>
      <c r="AF97" s="48">
        <f t="shared" si="7"/>
        <v>0.889929742388759</v>
      </c>
      <c r="AG97" s="75">
        <f t="shared" si="8"/>
        <v>3.6</v>
      </c>
      <c r="AH97" s="45">
        <f t="shared" si="9"/>
        <v>0.421545667447307</v>
      </c>
      <c r="AI97" s="45">
        <f t="shared" si="10"/>
        <v>1.2</v>
      </c>
      <c r="AJ97" s="45">
        <f t="shared" si="11"/>
        <v>0.140515222482436</v>
      </c>
      <c r="AK97" s="48">
        <f t="shared" si="12"/>
        <v>1.3485</v>
      </c>
      <c r="AL97" s="44">
        <v>2.42</v>
      </c>
      <c r="AM97" s="45">
        <f t="shared" si="13"/>
        <v>1.798</v>
      </c>
      <c r="AN97" s="76">
        <v>0</v>
      </c>
      <c r="AO97" s="45"/>
      <c r="AP97" s="46"/>
      <c r="AQ97" s="45">
        <v>0</v>
      </c>
      <c r="AR97" s="51" t="s">
        <v>643</v>
      </c>
      <c r="AS97" s="52" t="s">
        <v>637</v>
      </c>
      <c r="AT97" s="106">
        <v>8306100000</v>
      </c>
      <c r="AU97" s="95" t="s">
        <v>112</v>
      </c>
      <c r="AV97" s="95" t="s">
        <v>638</v>
      </c>
      <c r="AW97" s="95" t="s">
        <v>639</v>
      </c>
      <c r="AX97" s="52"/>
    </row>
    <row r="98" s="4" customFormat="1" ht="79" customHeight="1" spans="1:50">
      <c r="A98" s="40">
        <v>95</v>
      </c>
      <c r="B98" s="37">
        <v>46175</v>
      </c>
      <c r="C98" s="38" t="s">
        <v>644</v>
      </c>
      <c r="D98" s="39">
        <v>2561478</v>
      </c>
      <c r="E98" s="40" t="s">
        <v>555</v>
      </c>
      <c r="F98" s="55" t="s">
        <v>69</v>
      </c>
      <c r="G98" s="56"/>
      <c r="H98" s="57"/>
      <c r="I98" s="79" t="s">
        <v>129</v>
      </c>
      <c r="J98" s="51" t="s">
        <v>645</v>
      </c>
      <c r="K98" s="51" t="s">
        <v>646</v>
      </c>
      <c r="L98" s="51"/>
      <c r="M98" s="69">
        <v>6.99</v>
      </c>
      <c r="N98" s="45">
        <f t="shared" si="0"/>
        <v>1.61249297423888</v>
      </c>
      <c r="O98" s="46">
        <f t="shared" si="1"/>
        <v>13.77069</v>
      </c>
      <c r="P98" s="70">
        <f t="shared" si="2"/>
        <v>0.230685690162929</v>
      </c>
      <c r="Q98" s="45">
        <f t="shared" si="3"/>
        <v>1.92865222482436</v>
      </c>
      <c r="R98" s="46">
        <f t="shared" si="4"/>
        <v>16.47069</v>
      </c>
      <c r="S98" s="71">
        <f t="shared" si="5"/>
        <v>0.275915911992039</v>
      </c>
      <c r="T98" s="72" t="s">
        <v>61</v>
      </c>
      <c r="U98" s="72">
        <v>8.54</v>
      </c>
      <c r="V98" s="50">
        <v>0.2</v>
      </c>
      <c r="W98" s="50">
        <v>0.15</v>
      </c>
      <c r="X98" s="44">
        <v>18</v>
      </c>
      <c r="Y98" s="44">
        <v>15</v>
      </c>
      <c r="Z98" s="44">
        <v>2</v>
      </c>
      <c r="AA98" s="73">
        <f t="shared" si="14"/>
        <v>0.09</v>
      </c>
      <c r="AB98" s="44">
        <v>0.06</v>
      </c>
      <c r="AC98" s="49">
        <v>45</v>
      </c>
      <c r="AD98" s="49">
        <v>15</v>
      </c>
      <c r="AE98" s="74">
        <v>8</v>
      </c>
      <c r="AF98" s="48">
        <f t="shared" si="7"/>
        <v>0.936768149882904</v>
      </c>
      <c r="AG98" s="75">
        <f t="shared" si="8"/>
        <v>4.05</v>
      </c>
      <c r="AH98" s="45">
        <f t="shared" si="9"/>
        <v>0.47423887587822</v>
      </c>
      <c r="AI98" s="45">
        <f t="shared" si="10"/>
        <v>1.35</v>
      </c>
      <c r="AJ98" s="45">
        <f t="shared" si="11"/>
        <v>0.15807962529274</v>
      </c>
      <c r="AK98" s="48">
        <f t="shared" si="12"/>
        <v>1.0485</v>
      </c>
      <c r="AL98" s="44">
        <v>1.52</v>
      </c>
      <c r="AM98" s="45">
        <f t="shared" si="13"/>
        <v>1.398</v>
      </c>
      <c r="AN98" s="76">
        <v>0</v>
      </c>
      <c r="AO98" s="45"/>
      <c r="AP98" s="46"/>
      <c r="AQ98" s="45">
        <v>0</v>
      </c>
      <c r="AR98" s="51" t="s">
        <v>431</v>
      </c>
      <c r="AS98" s="52" t="s">
        <v>63</v>
      </c>
      <c r="AT98" s="106">
        <v>3926300090</v>
      </c>
      <c r="AU98" s="95" t="s">
        <v>162</v>
      </c>
      <c r="AV98" s="95" t="s">
        <v>464</v>
      </c>
      <c r="AW98" s="95" t="s">
        <v>465</v>
      </c>
      <c r="AX98" s="80" t="s">
        <v>647</v>
      </c>
    </row>
    <row r="99" s="4" customFormat="1" ht="79" customHeight="1" spans="1:50">
      <c r="A99" s="40">
        <v>96</v>
      </c>
      <c r="B99" s="37">
        <v>46175</v>
      </c>
      <c r="C99" s="38" t="s">
        <v>648</v>
      </c>
      <c r="D99" s="39">
        <v>2640246</v>
      </c>
      <c r="E99" s="40" t="s">
        <v>649</v>
      </c>
      <c r="F99" s="55" t="s">
        <v>69</v>
      </c>
      <c r="G99" s="56"/>
      <c r="H99" s="79" t="s">
        <v>650</v>
      </c>
      <c r="I99" s="79" t="s">
        <v>76</v>
      </c>
      <c r="J99" s="51" t="s">
        <v>651</v>
      </c>
      <c r="K99" s="51" t="s">
        <v>652</v>
      </c>
      <c r="L99" s="51" t="s">
        <v>653</v>
      </c>
      <c r="M99" s="69">
        <v>7.99</v>
      </c>
      <c r="N99" s="45">
        <f t="shared" ref="N99:N127" si="15">M99-SUM(AF99+AH99+AK99+AL99+AM99+AN99+AQ99)</f>
        <v>1.6102681498829</v>
      </c>
      <c r="O99" s="46">
        <f t="shared" ref="O99:O127" si="16">N99*U99</f>
        <v>13.75169</v>
      </c>
      <c r="P99" s="70">
        <f t="shared" ref="P99:P127" si="17">N99/M99</f>
        <v>0.201535438032904</v>
      </c>
      <c r="Q99" s="45">
        <f t="shared" ref="Q99:Q127" si="18">M99-SUM(AF99+AJ99+AK99+AL99+AM99+AN99+AO99+AP99+AQ99)</f>
        <v>2.01495199063232</v>
      </c>
      <c r="R99" s="46">
        <f t="shared" ref="R99:R127" si="19">Q99*U99</f>
        <v>17.20769</v>
      </c>
      <c r="S99" s="71">
        <f t="shared" ref="S99:S127" si="20">Q99/M99</f>
        <v>0.252184229115434</v>
      </c>
      <c r="T99" s="72" t="s">
        <v>61</v>
      </c>
      <c r="U99" s="72">
        <v>8.54</v>
      </c>
      <c r="V99" s="50">
        <v>0.2</v>
      </c>
      <c r="W99" s="50">
        <v>0.15</v>
      </c>
      <c r="X99" s="44">
        <v>27</v>
      </c>
      <c r="Y99" s="44">
        <v>8</v>
      </c>
      <c r="Z99" s="44">
        <v>3.2</v>
      </c>
      <c r="AA99" s="73">
        <f t="shared" si="14"/>
        <v>0.1152</v>
      </c>
      <c r="AB99" s="44">
        <v>0.07</v>
      </c>
      <c r="AC99" s="49">
        <v>45</v>
      </c>
      <c r="AD99" s="49">
        <v>15</v>
      </c>
      <c r="AE99" s="74">
        <v>4.75</v>
      </c>
      <c r="AF99" s="48">
        <f t="shared" ref="AF99:AF127" si="21">AE99/U99</f>
        <v>0.556206088992974</v>
      </c>
      <c r="AG99" s="75">
        <f t="shared" ref="AG99:AG127" si="22">AC99*MAX(AA99:AB99)</f>
        <v>5.184</v>
      </c>
      <c r="AH99" s="45">
        <f t="shared" ref="AH99:AH127" si="23">AG99/U99</f>
        <v>0.607025761124122</v>
      </c>
      <c r="AI99" s="45">
        <f t="shared" ref="AI99:AI127" si="24">AD99*MAX(AA99:AB99)</f>
        <v>1.728</v>
      </c>
      <c r="AJ99" s="45">
        <f t="shared" ref="AJ99:AJ127" si="25">AI99/U99</f>
        <v>0.202341920374707</v>
      </c>
      <c r="AK99" s="48">
        <f t="shared" ref="AK99:AK127" si="26">M99*W99</f>
        <v>1.1985</v>
      </c>
      <c r="AL99" s="44">
        <v>2.42</v>
      </c>
      <c r="AM99" s="45">
        <f t="shared" ref="AM99:AM127" si="27">M99*V99</f>
        <v>1.598</v>
      </c>
      <c r="AN99" s="76">
        <v>0</v>
      </c>
      <c r="AO99" s="45"/>
      <c r="AP99" s="46"/>
      <c r="AQ99" s="45">
        <v>0</v>
      </c>
      <c r="AR99" s="51" t="s">
        <v>654</v>
      </c>
      <c r="AS99" s="52" t="s">
        <v>655</v>
      </c>
      <c r="AT99" s="106">
        <v>7113190000</v>
      </c>
      <c r="AU99" s="95" t="s">
        <v>162</v>
      </c>
      <c r="AV99" s="95" t="s">
        <v>656</v>
      </c>
      <c r="AW99" s="95" t="s">
        <v>657</v>
      </c>
      <c r="AX99" s="52"/>
    </row>
    <row r="100" s="4" customFormat="1" ht="79" customHeight="1" spans="1:50">
      <c r="A100" s="40">
        <v>97</v>
      </c>
      <c r="B100" s="37">
        <v>46175</v>
      </c>
      <c r="C100" s="38" t="s">
        <v>658</v>
      </c>
      <c r="D100" s="39">
        <v>2640247</v>
      </c>
      <c r="E100" s="40" t="s">
        <v>649</v>
      </c>
      <c r="F100" s="55" t="s">
        <v>69</v>
      </c>
      <c r="G100" s="56"/>
      <c r="H100" s="79"/>
      <c r="I100" s="79" t="s">
        <v>336</v>
      </c>
      <c r="J100" s="51"/>
      <c r="K100" s="51"/>
      <c r="L100" s="51"/>
      <c r="M100" s="69"/>
      <c r="N100" s="45">
        <f t="shared" si="15"/>
        <v>-3.02070257611241</v>
      </c>
      <c r="O100" s="46">
        <f t="shared" si="16"/>
        <v>-25.7968</v>
      </c>
      <c r="P100" s="70" t="e">
        <f t="shared" si="17"/>
        <v>#DIV/0!</v>
      </c>
      <c r="Q100" s="45">
        <f t="shared" si="18"/>
        <v>-2.84505854800937</v>
      </c>
      <c r="R100" s="46">
        <f t="shared" si="19"/>
        <v>-24.2968</v>
      </c>
      <c r="S100" s="71" t="e">
        <f t="shared" si="20"/>
        <v>#DIV/0!</v>
      </c>
      <c r="T100" s="72" t="s">
        <v>61</v>
      </c>
      <c r="U100" s="72">
        <v>8.54</v>
      </c>
      <c r="V100" s="50">
        <v>0.2</v>
      </c>
      <c r="W100" s="50">
        <v>0.15</v>
      </c>
      <c r="X100" s="44">
        <v>27</v>
      </c>
      <c r="Y100" s="44">
        <v>3</v>
      </c>
      <c r="Z100" s="44">
        <v>1</v>
      </c>
      <c r="AA100" s="73">
        <f t="shared" si="14"/>
        <v>0.0135</v>
      </c>
      <c r="AB100" s="44">
        <v>0.05</v>
      </c>
      <c r="AC100" s="49">
        <v>45</v>
      </c>
      <c r="AD100" s="49">
        <v>15</v>
      </c>
      <c r="AE100" s="74">
        <v>2.88</v>
      </c>
      <c r="AF100" s="48">
        <f t="shared" si="21"/>
        <v>0.337236533957845</v>
      </c>
      <c r="AG100" s="75">
        <f t="shared" si="22"/>
        <v>2.25</v>
      </c>
      <c r="AH100" s="45">
        <f t="shared" si="23"/>
        <v>0.263466042154567</v>
      </c>
      <c r="AI100" s="45">
        <f t="shared" si="24"/>
        <v>0.75</v>
      </c>
      <c r="AJ100" s="45">
        <f t="shared" si="25"/>
        <v>0.0878220140515223</v>
      </c>
      <c r="AK100" s="48">
        <f t="shared" si="26"/>
        <v>0</v>
      </c>
      <c r="AL100" s="44">
        <v>2.42</v>
      </c>
      <c r="AM100" s="45">
        <f t="shared" si="27"/>
        <v>0</v>
      </c>
      <c r="AN100" s="76">
        <v>0</v>
      </c>
      <c r="AO100" s="45"/>
      <c r="AP100" s="46"/>
      <c r="AQ100" s="45">
        <v>0</v>
      </c>
      <c r="AR100" s="51" t="s">
        <v>659</v>
      </c>
      <c r="AS100" s="52" t="s">
        <v>660</v>
      </c>
      <c r="AT100" s="106">
        <v>7113190000</v>
      </c>
      <c r="AU100" s="95" t="s">
        <v>162</v>
      </c>
      <c r="AV100" s="95" t="s">
        <v>656</v>
      </c>
      <c r="AW100" s="95" t="s">
        <v>657</v>
      </c>
      <c r="AX100" s="52" t="s">
        <v>661</v>
      </c>
    </row>
    <row r="101" s="4" customFormat="1" ht="79" customHeight="1" spans="1:50">
      <c r="A101" s="40">
        <v>98</v>
      </c>
      <c r="B101" s="37">
        <v>46175</v>
      </c>
      <c r="C101" s="38" t="s">
        <v>662</v>
      </c>
      <c r="D101" s="39">
        <v>2640248</v>
      </c>
      <c r="E101" s="40" t="s">
        <v>649</v>
      </c>
      <c r="F101" s="55" t="s">
        <v>69</v>
      </c>
      <c r="G101" s="56"/>
      <c r="H101" s="79"/>
      <c r="I101" s="79" t="s">
        <v>336</v>
      </c>
      <c r="J101" s="51"/>
      <c r="K101" s="51"/>
      <c r="L101" s="51"/>
      <c r="M101" s="69"/>
      <c r="N101" s="45">
        <f t="shared" si="15"/>
        <v>-3.01274004683841</v>
      </c>
      <c r="O101" s="46">
        <f t="shared" si="16"/>
        <v>-25.7288</v>
      </c>
      <c r="P101" s="70" t="e">
        <f t="shared" si="17"/>
        <v>#DIV/0!</v>
      </c>
      <c r="Q101" s="45">
        <f t="shared" si="18"/>
        <v>-2.76355971896955</v>
      </c>
      <c r="R101" s="46">
        <f t="shared" si="19"/>
        <v>-23.6008</v>
      </c>
      <c r="S101" s="71" t="e">
        <f t="shared" si="20"/>
        <v>#DIV/0!</v>
      </c>
      <c r="T101" s="72" t="s">
        <v>61</v>
      </c>
      <c r="U101" s="72">
        <v>8.54</v>
      </c>
      <c r="V101" s="50">
        <v>0.2</v>
      </c>
      <c r="W101" s="50">
        <v>0.15</v>
      </c>
      <c r="X101" s="44">
        <v>19</v>
      </c>
      <c r="Y101" s="44">
        <v>7</v>
      </c>
      <c r="Z101" s="44">
        <v>3.2</v>
      </c>
      <c r="AA101" s="73">
        <f t="shared" si="14"/>
        <v>0.0709333333333333</v>
      </c>
      <c r="AB101" s="44">
        <v>0.02</v>
      </c>
      <c r="AC101" s="49">
        <v>45</v>
      </c>
      <c r="AD101" s="49">
        <v>15</v>
      </c>
      <c r="AE101" s="74">
        <v>1.87</v>
      </c>
      <c r="AF101" s="48">
        <f t="shared" si="21"/>
        <v>0.218969555035129</v>
      </c>
      <c r="AG101" s="75">
        <f t="shared" si="22"/>
        <v>3.192</v>
      </c>
      <c r="AH101" s="45">
        <f t="shared" si="23"/>
        <v>0.373770491803279</v>
      </c>
      <c r="AI101" s="45">
        <f t="shared" si="24"/>
        <v>1.064</v>
      </c>
      <c r="AJ101" s="45">
        <f t="shared" si="25"/>
        <v>0.124590163934426</v>
      </c>
      <c r="AK101" s="48">
        <f t="shared" si="26"/>
        <v>0</v>
      </c>
      <c r="AL101" s="44">
        <v>2.42</v>
      </c>
      <c r="AM101" s="45">
        <f t="shared" si="27"/>
        <v>0</v>
      </c>
      <c r="AN101" s="76">
        <v>0</v>
      </c>
      <c r="AO101" s="45"/>
      <c r="AP101" s="46"/>
      <c r="AQ101" s="45">
        <v>0</v>
      </c>
      <c r="AR101" s="51" t="s">
        <v>663</v>
      </c>
      <c r="AS101" s="52" t="s">
        <v>655</v>
      </c>
      <c r="AT101" s="106">
        <v>7113190000</v>
      </c>
      <c r="AU101" s="95" t="s">
        <v>162</v>
      </c>
      <c r="AV101" s="95" t="s">
        <v>664</v>
      </c>
      <c r="AW101" s="95" t="s">
        <v>665</v>
      </c>
      <c r="AX101" s="52" t="s">
        <v>666</v>
      </c>
    </row>
    <row r="102" s="4" customFormat="1" ht="79" customHeight="1" spans="1:50">
      <c r="A102" s="40">
        <v>99</v>
      </c>
      <c r="B102" s="37">
        <v>46175</v>
      </c>
      <c r="C102" s="38" t="s">
        <v>667</v>
      </c>
      <c r="D102" s="39">
        <v>2640249</v>
      </c>
      <c r="E102" s="40" t="s">
        <v>649</v>
      </c>
      <c r="F102" s="55"/>
      <c r="G102" s="56"/>
      <c r="H102" s="79" t="s">
        <v>668</v>
      </c>
      <c r="I102" s="79"/>
      <c r="J102" s="51" t="s">
        <v>669</v>
      </c>
      <c r="K102" s="51"/>
      <c r="L102" s="51"/>
      <c r="M102" s="69">
        <v>5.99</v>
      </c>
      <c r="N102" s="45">
        <f t="shared" si="15"/>
        <v>1.64661475409836</v>
      </c>
      <c r="O102" s="46">
        <f t="shared" si="16"/>
        <v>14.06209</v>
      </c>
      <c r="P102" s="70">
        <f t="shared" si="17"/>
        <v>0.274893948931279</v>
      </c>
      <c r="Q102" s="45">
        <f t="shared" si="18"/>
        <v>1.70282084309133</v>
      </c>
      <c r="R102" s="46">
        <f t="shared" si="19"/>
        <v>14.54209</v>
      </c>
      <c r="S102" s="71">
        <f t="shared" si="20"/>
        <v>0.284277269297385</v>
      </c>
      <c r="T102" s="72" t="s">
        <v>61</v>
      </c>
      <c r="U102" s="72">
        <v>8.54</v>
      </c>
      <c r="V102" s="50">
        <v>0.2</v>
      </c>
      <c r="W102" s="50">
        <v>0.15</v>
      </c>
      <c r="X102" s="44">
        <v>8</v>
      </c>
      <c r="Y102" s="44">
        <v>6</v>
      </c>
      <c r="Z102" s="44">
        <v>2</v>
      </c>
      <c r="AA102" s="73">
        <f t="shared" si="14"/>
        <v>0.016</v>
      </c>
      <c r="AB102" s="44">
        <v>0.012</v>
      </c>
      <c r="AC102" s="49">
        <v>45</v>
      </c>
      <c r="AD102" s="49">
        <v>15</v>
      </c>
      <c r="AE102" s="74">
        <v>6</v>
      </c>
      <c r="AF102" s="48">
        <f t="shared" si="21"/>
        <v>0.702576112412178</v>
      </c>
      <c r="AG102" s="75">
        <f t="shared" si="22"/>
        <v>0.72</v>
      </c>
      <c r="AH102" s="45">
        <f t="shared" si="23"/>
        <v>0.0843091334894614</v>
      </c>
      <c r="AI102" s="45">
        <f t="shared" si="24"/>
        <v>0.24</v>
      </c>
      <c r="AJ102" s="45">
        <f t="shared" si="25"/>
        <v>0.0281030444964871</v>
      </c>
      <c r="AK102" s="48">
        <f t="shared" si="26"/>
        <v>0.8985</v>
      </c>
      <c r="AL102" s="44">
        <v>1.46</v>
      </c>
      <c r="AM102" s="45">
        <f t="shared" si="27"/>
        <v>1.198</v>
      </c>
      <c r="AN102" s="76">
        <v>0</v>
      </c>
      <c r="AO102" s="45"/>
      <c r="AP102" s="46"/>
      <c r="AQ102" s="45">
        <v>0</v>
      </c>
      <c r="AR102" s="51" t="s">
        <v>670</v>
      </c>
      <c r="AS102" s="52" t="s">
        <v>671</v>
      </c>
      <c r="AT102" s="106">
        <v>3901109090</v>
      </c>
      <c r="AU102" s="95" t="s">
        <v>112</v>
      </c>
      <c r="AV102" s="95" t="s">
        <v>672</v>
      </c>
      <c r="AW102" s="95" t="s">
        <v>673</v>
      </c>
      <c r="AX102" s="52"/>
    </row>
    <row r="103" s="4" customFormat="1" ht="79" customHeight="1" spans="1:50">
      <c r="A103" s="40">
        <v>100</v>
      </c>
      <c r="B103" s="37">
        <v>46175</v>
      </c>
      <c r="C103" s="38" t="s">
        <v>674</v>
      </c>
      <c r="D103" s="39">
        <v>2640250</v>
      </c>
      <c r="E103" s="40" t="s">
        <v>649</v>
      </c>
      <c r="F103" s="55"/>
      <c r="G103" s="56"/>
      <c r="H103" s="79" t="s">
        <v>675</v>
      </c>
      <c r="I103" s="79"/>
      <c r="J103" s="51"/>
      <c r="K103" s="51"/>
      <c r="L103" s="51" t="s">
        <v>676</v>
      </c>
      <c r="M103" s="69">
        <v>5.99</v>
      </c>
      <c r="N103" s="45">
        <f t="shared" si="15"/>
        <v>1.23258665105386</v>
      </c>
      <c r="O103" s="46">
        <f t="shared" si="16"/>
        <v>10.52629</v>
      </c>
      <c r="P103" s="70">
        <f t="shared" si="17"/>
        <v>0.205774065284451</v>
      </c>
      <c r="Q103" s="45">
        <f t="shared" si="18"/>
        <v>1.61900351288056</v>
      </c>
      <c r="R103" s="46">
        <f t="shared" si="19"/>
        <v>13.82629</v>
      </c>
      <c r="S103" s="71">
        <f t="shared" si="20"/>
        <v>0.270284392801429</v>
      </c>
      <c r="T103" s="72" t="s">
        <v>61</v>
      </c>
      <c r="U103" s="72">
        <v>8.54</v>
      </c>
      <c r="V103" s="50">
        <v>0.2</v>
      </c>
      <c r="W103" s="50">
        <v>0.15</v>
      </c>
      <c r="X103" s="44">
        <v>26.3</v>
      </c>
      <c r="Y103" s="44">
        <v>14</v>
      </c>
      <c r="Z103" s="44">
        <v>1</v>
      </c>
      <c r="AA103" s="73">
        <f t="shared" si="14"/>
        <v>0.0613666666666667</v>
      </c>
      <c r="AB103" s="44">
        <v>0.11</v>
      </c>
      <c r="AC103" s="49">
        <v>45</v>
      </c>
      <c r="AD103" s="49">
        <v>15</v>
      </c>
      <c r="AE103" s="74">
        <v>3</v>
      </c>
      <c r="AF103" s="48">
        <f t="shared" si="21"/>
        <v>0.351288056206089</v>
      </c>
      <c r="AG103" s="75">
        <f t="shared" si="22"/>
        <v>4.95</v>
      </c>
      <c r="AH103" s="45">
        <f t="shared" si="23"/>
        <v>0.579625292740047</v>
      </c>
      <c r="AI103" s="45">
        <f t="shared" si="24"/>
        <v>1.65</v>
      </c>
      <c r="AJ103" s="45">
        <f t="shared" si="25"/>
        <v>0.193208430913349</v>
      </c>
      <c r="AK103" s="48">
        <f t="shared" si="26"/>
        <v>0.8985</v>
      </c>
      <c r="AL103" s="44">
        <v>1.73</v>
      </c>
      <c r="AM103" s="45">
        <f t="shared" si="27"/>
        <v>1.198</v>
      </c>
      <c r="AN103" s="76">
        <v>0</v>
      </c>
      <c r="AO103" s="45"/>
      <c r="AP103" s="46"/>
      <c r="AQ103" s="45">
        <v>0</v>
      </c>
      <c r="AR103" s="51" t="s">
        <v>677</v>
      </c>
      <c r="AS103" s="52" t="s">
        <v>678</v>
      </c>
      <c r="AT103" s="106">
        <v>3901109090</v>
      </c>
      <c r="AU103" s="95" t="s">
        <v>112</v>
      </c>
      <c r="AV103" s="95" t="s">
        <v>679</v>
      </c>
      <c r="AW103" s="95" t="s">
        <v>680</v>
      </c>
      <c r="AX103" s="52" t="s">
        <v>681</v>
      </c>
    </row>
    <row r="104" s="4" customFormat="1" ht="79" customHeight="1" spans="1:50">
      <c r="A104" s="40">
        <v>101</v>
      </c>
      <c r="B104" s="37">
        <v>46175</v>
      </c>
      <c r="C104" s="38" t="s">
        <v>682</v>
      </c>
      <c r="D104" s="39">
        <v>2640251</v>
      </c>
      <c r="E104" s="40" t="s">
        <v>649</v>
      </c>
      <c r="F104" s="55"/>
      <c r="G104" s="56"/>
      <c r="H104" s="79" t="s">
        <v>675</v>
      </c>
      <c r="I104" s="79"/>
      <c r="J104" s="51"/>
      <c r="K104" s="51"/>
      <c r="L104" s="51" t="s">
        <v>683</v>
      </c>
      <c r="M104" s="69">
        <v>8.99</v>
      </c>
      <c r="N104" s="45">
        <f t="shared" si="15"/>
        <v>2.18193091334895</v>
      </c>
      <c r="O104" s="46">
        <f t="shared" si="16"/>
        <v>18.63369</v>
      </c>
      <c r="P104" s="70">
        <f t="shared" si="17"/>
        <v>0.242706441974299</v>
      </c>
      <c r="Q104" s="45">
        <f t="shared" si="18"/>
        <v>3.02502224824356</v>
      </c>
      <c r="R104" s="46">
        <f t="shared" si="19"/>
        <v>25.83369</v>
      </c>
      <c r="S104" s="71">
        <f t="shared" si="20"/>
        <v>0.336487458091608</v>
      </c>
      <c r="T104" s="72" t="s">
        <v>61</v>
      </c>
      <c r="U104" s="72">
        <v>8.54</v>
      </c>
      <c r="V104" s="50">
        <v>0.2</v>
      </c>
      <c r="W104" s="50">
        <v>0.15</v>
      </c>
      <c r="X104" s="44">
        <v>26</v>
      </c>
      <c r="Y104" s="44">
        <v>20</v>
      </c>
      <c r="Z104" s="44">
        <v>1</v>
      </c>
      <c r="AA104" s="73">
        <f t="shared" si="14"/>
        <v>0.0866666666666667</v>
      </c>
      <c r="AB104" s="44">
        <v>0.24</v>
      </c>
      <c r="AC104" s="49">
        <v>45</v>
      </c>
      <c r="AD104" s="49">
        <v>15</v>
      </c>
      <c r="AE104" s="74">
        <v>4.5</v>
      </c>
      <c r="AF104" s="48">
        <f t="shared" si="21"/>
        <v>0.526932084309134</v>
      </c>
      <c r="AG104" s="75">
        <f t="shared" si="22"/>
        <v>10.8</v>
      </c>
      <c r="AH104" s="45">
        <f t="shared" si="23"/>
        <v>1.26463700234192</v>
      </c>
      <c r="AI104" s="45">
        <f t="shared" si="24"/>
        <v>3.6</v>
      </c>
      <c r="AJ104" s="45">
        <f t="shared" si="25"/>
        <v>0.421545667447307</v>
      </c>
      <c r="AK104" s="48">
        <f t="shared" si="26"/>
        <v>1.3485</v>
      </c>
      <c r="AL104" s="44">
        <v>1.87</v>
      </c>
      <c r="AM104" s="45">
        <f t="shared" si="27"/>
        <v>1.798</v>
      </c>
      <c r="AN104" s="76">
        <v>0</v>
      </c>
      <c r="AO104" s="45"/>
      <c r="AP104" s="46"/>
      <c r="AQ104" s="45">
        <v>0</v>
      </c>
      <c r="AR104" s="51" t="s">
        <v>684</v>
      </c>
      <c r="AS104" s="52" t="s">
        <v>685</v>
      </c>
      <c r="AT104" s="106">
        <v>9504400000</v>
      </c>
      <c r="AU104" s="95" t="s">
        <v>90</v>
      </c>
      <c r="AV104" s="95" t="s">
        <v>686</v>
      </c>
      <c r="AW104" s="95" t="s">
        <v>687</v>
      </c>
      <c r="AX104" s="52" t="s">
        <v>688</v>
      </c>
    </row>
    <row r="105" s="4" customFormat="1" ht="79" customHeight="1" spans="1:50">
      <c r="A105" s="40">
        <v>102</v>
      </c>
      <c r="B105" s="37">
        <v>46175</v>
      </c>
      <c r="C105" s="38" t="s">
        <v>689</v>
      </c>
      <c r="D105" s="39">
        <v>2640252</v>
      </c>
      <c r="E105" s="40" t="s">
        <v>649</v>
      </c>
      <c r="F105" s="55" t="s">
        <v>205</v>
      </c>
      <c r="G105" s="56"/>
      <c r="H105" s="79" t="s">
        <v>690</v>
      </c>
      <c r="I105" s="79"/>
      <c r="J105" s="51" t="s">
        <v>691</v>
      </c>
      <c r="K105" s="51"/>
      <c r="L105" s="51"/>
      <c r="M105" s="69">
        <v>7.99</v>
      </c>
      <c r="N105" s="45">
        <f t="shared" si="15"/>
        <v>2.53989344262295</v>
      </c>
      <c r="O105" s="46">
        <f t="shared" si="16"/>
        <v>21.69069</v>
      </c>
      <c r="P105" s="70">
        <f t="shared" si="17"/>
        <v>0.317884035372084</v>
      </c>
      <c r="Q105" s="45">
        <f t="shared" si="18"/>
        <v>2.82092388758782</v>
      </c>
      <c r="R105" s="46">
        <f t="shared" si="19"/>
        <v>24.09069</v>
      </c>
      <c r="S105" s="71">
        <f t="shared" si="20"/>
        <v>0.353056806957174</v>
      </c>
      <c r="T105" s="72" t="s">
        <v>61</v>
      </c>
      <c r="U105" s="72">
        <v>8.54</v>
      </c>
      <c r="V105" s="50">
        <v>0.2</v>
      </c>
      <c r="W105" s="50">
        <v>0.15</v>
      </c>
      <c r="X105" s="44">
        <v>14</v>
      </c>
      <c r="Y105" s="44">
        <v>10</v>
      </c>
      <c r="Z105" s="44">
        <v>2</v>
      </c>
      <c r="AA105" s="73">
        <f t="shared" si="14"/>
        <v>0.0466666666666667</v>
      </c>
      <c r="AB105" s="44">
        <v>0.08</v>
      </c>
      <c r="AC105" s="49">
        <v>45</v>
      </c>
      <c r="AD105" s="49">
        <v>15</v>
      </c>
      <c r="AE105" s="74">
        <v>4.8</v>
      </c>
      <c r="AF105" s="48">
        <f t="shared" si="21"/>
        <v>0.562060889929742</v>
      </c>
      <c r="AG105" s="75">
        <f t="shared" si="22"/>
        <v>3.6</v>
      </c>
      <c r="AH105" s="45">
        <f t="shared" si="23"/>
        <v>0.421545667447307</v>
      </c>
      <c r="AI105" s="45">
        <f t="shared" si="24"/>
        <v>1.2</v>
      </c>
      <c r="AJ105" s="45">
        <f t="shared" si="25"/>
        <v>0.140515222482436</v>
      </c>
      <c r="AK105" s="48">
        <f t="shared" si="26"/>
        <v>1.1985</v>
      </c>
      <c r="AL105" s="44">
        <v>1.67</v>
      </c>
      <c r="AM105" s="45">
        <f t="shared" si="27"/>
        <v>1.598</v>
      </c>
      <c r="AN105" s="76">
        <v>0</v>
      </c>
      <c r="AO105" s="45"/>
      <c r="AP105" s="46"/>
      <c r="AQ105" s="45">
        <v>0</v>
      </c>
      <c r="AR105" s="51" t="s">
        <v>692</v>
      </c>
      <c r="AS105" s="52" t="s">
        <v>693</v>
      </c>
      <c r="AT105" s="106">
        <v>3901109090</v>
      </c>
      <c r="AU105" s="95" t="s">
        <v>112</v>
      </c>
      <c r="AV105" s="95" t="s">
        <v>328</v>
      </c>
      <c r="AW105" s="95" t="s">
        <v>694</v>
      </c>
      <c r="AX105" s="52" t="s">
        <v>695</v>
      </c>
    </row>
    <row r="106" s="4" customFormat="1" ht="79" customHeight="1" spans="1:50">
      <c r="A106" s="40">
        <v>103</v>
      </c>
      <c r="B106" s="37">
        <v>46175</v>
      </c>
      <c r="C106" s="38" t="s">
        <v>696</v>
      </c>
      <c r="D106" s="39">
        <v>2640253</v>
      </c>
      <c r="E106" s="40" t="s">
        <v>649</v>
      </c>
      <c r="F106" s="55" t="s">
        <v>205</v>
      </c>
      <c r="G106" s="56"/>
      <c r="H106" s="79" t="s">
        <v>690</v>
      </c>
      <c r="I106" s="79"/>
      <c r="J106" s="51" t="s">
        <v>697</v>
      </c>
      <c r="K106" s="51"/>
      <c r="L106" s="51"/>
      <c r="M106" s="69">
        <v>6.99</v>
      </c>
      <c r="N106" s="45">
        <f t="shared" si="15"/>
        <v>2.01284426229508</v>
      </c>
      <c r="O106" s="46">
        <f t="shared" si="16"/>
        <v>17.18969</v>
      </c>
      <c r="P106" s="70">
        <f t="shared" si="17"/>
        <v>0.287960552545791</v>
      </c>
      <c r="Q106" s="45">
        <f t="shared" si="18"/>
        <v>2.25874590163934</v>
      </c>
      <c r="R106" s="46">
        <f t="shared" si="19"/>
        <v>19.28969</v>
      </c>
      <c r="S106" s="71">
        <f t="shared" si="20"/>
        <v>0.323139613968433</v>
      </c>
      <c r="T106" s="72" t="s">
        <v>61</v>
      </c>
      <c r="U106" s="72">
        <v>8.54</v>
      </c>
      <c r="V106" s="50">
        <v>0.2</v>
      </c>
      <c r="W106" s="50">
        <v>0.15</v>
      </c>
      <c r="X106" s="44">
        <v>14</v>
      </c>
      <c r="Y106" s="44">
        <v>8</v>
      </c>
      <c r="Z106" s="44">
        <v>2</v>
      </c>
      <c r="AA106" s="73">
        <f t="shared" si="14"/>
        <v>0.0373333333333333</v>
      </c>
      <c r="AB106" s="44">
        <v>0.07</v>
      </c>
      <c r="AC106" s="49">
        <v>45</v>
      </c>
      <c r="AD106" s="49">
        <v>15</v>
      </c>
      <c r="AE106" s="74">
        <v>4.2</v>
      </c>
      <c r="AF106" s="48">
        <f t="shared" si="21"/>
        <v>0.491803278688525</v>
      </c>
      <c r="AG106" s="75">
        <f t="shared" si="22"/>
        <v>3.15</v>
      </c>
      <c r="AH106" s="45">
        <f t="shared" si="23"/>
        <v>0.368852459016394</v>
      </c>
      <c r="AI106" s="45">
        <f t="shared" si="24"/>
        <v>1.05</v>
      </c>
      <c r="AJ106" s="45">
        <f t="shared" si="25"/>
        <v>0.122950819672131</v>
      </c>
      <c r="AK106" s="48">
        <f t="shared" si="26"/>
        <v>1.0485</v>
      </c>
      <c r="AL106" s="44">
        <v>1.67</v>
      </c>
      <c r="AM106" s="45">
        <f t="shared" si="27"/>
        <v>1.398</v>
      </c>
      <c r="AN106" s="76">
        <v>0</v>
      </c>
      <c r="AO106" s="45"/>
      <c r="AP106" s="46"/>
      <c r="AQ106" s="45">
        <v>0</v>
      </c>
      <c r="AR106" s="51" t="s">
        <v>692</v>
      </c>
      <c r="AS106" s="52" t="s">
        <v>693</v>
      </c>
      <c r="AT106" s="106">
        <v>3901109090</v>
      </c>
      <c r="AU106" s="95" t="s">
        <v>112</v>
      </c>
      <c r="AV106" s="95" t="s">
        <v>328</v>
      </c>
      <c r="AW106" s="95" t="s">
        <v>694</v>
      </c>
      <c r="AX106" s="52" t="s">
        <v>698</v>
      </c>
    </row>
    <row r="107" s="4" customFormat="1" ht="79" customHeight="1" spans="1:50">
      <c r="A107" s="40">
        <v>104</v>
      </c>
      <c r="B107" s="37">
        <v>46175</v>
      </c>
      <c r="C107" s="38" t="s">
        <v>699</v>
      </c>
      <c r="D107" s="39">
        <v>2640254</v>
      </c>
      <c r="E107" s="40" t="s">
        <v>649</v>
      </c>
      <c r="F107" s="55"/>
      <c r="G107" s="56"/>
      <c r="H107" s="79" t="s">
        <v>700</v>
      </c>
      <c r="I107" s="79" t="s">
        <v>701</v>
      </c>
      <c r="J107" s="51" t="s">
        <v>702</v>
      </c>
      <c r="K107" s="51" t="s">
        <v>703</v>
      </c>
      <c r="L107" s="51"/>
      <c r="M107" s="69">
        <v>12.99</v>
      </c>
      <c r="N107" s="45">
        <f t="shared" si="15"/>
        <v>2.33357025761124</v>
      </c>
      <c r="O107" s="46">
        <f t="shared" si="16"/>
        <v>19.92869</v>
      </c>
      <c r="P107" s="70">
        <f t="shared" si="17"/>
        <v>0.179643591809949</v>
      </c>
      <c r="Q107" s="45">
        <f t="shared" si="18"/>
        <v>2.5794718969555</v>
      </c>
      <c r="R107" s="46">
        <f t="shared" si="19"/>
        <v>22.02869</v>
      </c>
      <c r="S107" s="71">
        <f t="shared" si="20"/>
        <v>0.198573664122826</v>
      </c>
      <c r="T107" s="72" t="s">
        <v>61</v>
      </c>
      <c r="U107" s="72">
        <v>8.54</v>
      </c>
      <c r="V107" s="50">
        <v>0.2</v>
      </c>
      <c r="W107" s="50">
        <v>0.15</v>
      </c>
      <c r="X107" s="44">
        <v>12.4</v>
      </c>
      <c r="Y107" s="44">
        <v>8.5</v>
      </c>
      <c r="Z107" s="44">
        <v>2.7</v>
      </c>
      <c r="AA107" s="73">
        <f t="shared" si="14"/>
        <v>0.04743</v>
      </c>
      <c r="AB107" s="44">
        <v>0.07</v>
      </c>
      <c r="AC107" s="49">
        <v>45</v>
      </c>
      <c r="AD107" s="49">
        <v>15</v>
      </c>
      <c r="AE107" s="74">
        <v>25.8</v>
      </c>
      <c r="AF107" s="48">
        <f t="shared" si="21"/>
        <v>3.02107728337237</v>
      </c>
      <c r="AG107" s="75">
        <f t="shared" si="22"/>
        <v>3.15</v>
      </c>
      <c r="AH107" s="45">
        <f t="shared" si="23"/>
        <v>0.368852459016394</v>
      </c>
      <c r="AI107" s="45">
        <f t="shared" si="24"/>
        <v>1.05</v>
      </c>
      <c r="AJ107" s="45">
        <f t="shared" si="25"/>
        <v>0.122950819672131</v>
      </c>
      <c r="AK107" s="48">
        <f t="shared" si="26"/>
        <v>1.9485</v>
      </c>
      <c r="AL107" s="44">
        <v>2.72</v>
      </c>
      <c r="AM107" s="45">
        <f t="shared" si="27"/>
        <v>2.598</v>
      </c>
      <c r="AN107" s="76">
        <v>0</v>
      </c>
      <c r="AO107" s="45"/>
      <c r="AP107" s="46"/>
      <c r="AQ107" s="45">
        <v>0</v>
      </c>
      <c r="AR107" s="51" t="s">
        <v>704</v>
      </c>
      <c r="AS107" s="52" t="s">
        <v>705</v>
      </c>
      <c r="AT107" s="106">
        <v>3901109090</v>
      </c>
      <c r="AU107" s="95" t="s">
        <v>112</v>
      </c>
      <c r="AV107" s="95" t="s">
        <v>706</v>
      </c>
      <c r="AW107" s="95" t="s">
        <v>707</v>
      </c>
      <c r="AX107" s="52" t="s">
        <v>708</v>
      </c>
    </row>
    <row r="108" s="4" customFormat="1" ht="79" customHeight="1" spans="1:50">
      <c r="A108" s="40">
        <v>105</v>
      </c>
      <c r="B108" s="37">
        <v>46175</v>
      </c>
      <c r="C108" s="38" t="s">
        <v>709</v>
      </c>
      <c r="D108" s="39">
        <v>2640255</v>
      </c>
      <c r="E108" s="40" t="s">
        <v>649</v>
      </c>
      <c r="F108" s="78"/>
      <c r="G108" s="56"/>
      <c r="H108" s="79" t="s">
        <v>700</v>
      </c>
      <c r="I108" s="79" t="s">
        <v>701</v>
      </c>
      <c r="J108" s="51" t="s">
        <v>703</v>
      </c>
      <c r="K108" s="51"/>
      <c r="L108" s="51"/>
      <c r="M108" s="69">
        <v>8.99</v>
      </c>
      <c r="N108" s="45">
        <f t="shared" si="15"/>
        <v>1.72853512880562</v>
      </c>
      <c r="O108" s="46">
        <f t="shared" si="16"/>
        <v>14.76169</v>
      </c>
      <c r="P108" s="70">
        <f t="shared" si="17"/>
        <v>0.19227309552899</v>
      </c>
      <c r="Q108" s="45">
        <f t="shared" si="18"/>
        <v>1.85148594847775</v>
      </c>
      <c r="R108" s="46">
        <f t="shared" si="19"/>
        <v>15.81169</v>
      </c>
      <c r="S108" s="71">
        <f t="shared" si="20"/>
        <v>0.205949493712764</v>
      </c>
      <c r="T108" s="72" t="s">
        <v>61</v>
      </c>
      <c r="U108" s="72">
        <v>8.54</v>
      </c>
      <c r="V108" s="50">
        <v>0.2</v>
      </c>
      <c r="W108" s="50">
        <v>0.15</v>
      </c>
      <c r="X108" s="44">
        <v>8.5</v>
      </c>
      <c r="Y108" s="44">
        <v>6.2</v>
      </c>
      <c r="Z108" s="44">
        <v>2.7</v>
      </c>
      <c r="AA108" s="73">
        <f t="shared" si="14"/>
        <v>0.023715</v>
      </c>
      <c r="AB108" s="44">
        <v>0.035</v>
      </c>
      <c r="AC108" s="49">
        <v>45</v>
      </c>
      <c r="AD108" s="49">
        <v>15</v>
      </c>
      <c r="AE108" s="74">
        <v>12.9</v>
      </c>
      <c r="AF108" s="48">
        <f t="shared" si="21"/>
        <v>1.51053864168618</v>
      </c>
      <c r="AG108" s="75">
        <f t="shared" si="22"/>
        <v>1.575</v>
      </c>
      <c r="AH108" s="45">
        <f t="shared" si="23"/>
        <v>0.184426229508197</v>
      </c>
      <c r="AI108" s="45">
        <f t="shared" si="24"/>
        <v>0.525</v>
      </c>
      <c r="AJ108" s="45">
        <f t="shared" si="25"/>
        <v>0.0614754098360656</v>
      </c>
      <c r="AK108" s="48">
        <f t="shared" si="26"/>
        <v>1.3485</v>
      </c>
      <c r="AL108" s="44">
        <v>2.42</v>
      </c>
      <c r="AM108" s="45">
        <f t="shared" si="27"/>
        <v>1.798</v>
      </c>
      <c r="AN108" s="76">
        <v>0</v>
      </c>
      <c r="AO108" s="45"/>
      <c r="AP108" s="46"/>
      <c r="AQ108" s="45">
        <v>0</v>
      </c>
      <c r="AR108" s="51" t="s">
        <v>704</v>
      </c>
      <c r="AS108" s="52" t="s">
        <v>705</v>
      </c>
      <c r="AT108" s="106">
        <v>3901109090</v>
      </c>
      <c r="AU108" s="95" t="s">
        <v>112</v>
      </c>
      <c r="AV108" s="95" t="s">
        <v>706</v>
      </c>
      <c r="AW108" s="95" t="s">
        <v>707</v>
      </c>
      <c r="AX108" s="52" t="s">
        <v>708</v>
      </c>
    </row>
    <row r="109" s="4" customFormat="1" ht="79" customHeight="1" spans="1:50">
      <c r="A109" s="40">
        <v>106</v>
      </c>
      <c r="B109" s="37">
        <v>46175</v>
      </c>
      <c r="C109" s="38" t="s">
        <v>710</v>
      </c>
      <c r="D109" s="39">
        <v>2640256</v>
      </c>
      <c r="E109" s="40" t="s">
        <v>649</v>
      </c>
      <c r="F109" s="55" t="s">
        <v>74</v>
      </c>
      <c r="G109" s="56"/>
      <c r="H109" s="79" t="s">
        <v>711</v>
      </c>
      <c r="I109" s="79"/>
      <c r="J109" s="51" t="s">
        <v>712</v>
      </c>
      <c r="K109" s="51"/>
      <c r="L109" s="51"/>
      <c r="M109" s="69">
        <v>9.99</v>
      </c>
      <c r="N109" s="45">
        <f t="shared" si="15"/>
        <v>1.98040866510539</v>
      </c>
      <c r="O109" s="46">
        <f t="shared" si="16"/>
        <v>16.91269</v>
      </c>
      <c r="P109" s="70">
        <f t="shared" si="17"/>
        <v>0.198239105616155</v>
      </c>
      <c r="Q109" s="45">
        <f t="shared" si="18"/>
        <v>2.45464754098361</v>
      </c>
      <c r="R109" s="46">
        <f t="shared" si="19"/>
        <v>20.96269</v>
      </c>
      <c r="S109" s="71">
        <f t="shared" si="20"/>
        <v>0.245710464562924</v>
      </c>
      <c r="T109" s="72" t="s">
        <v>61</v>
      </c>
      <c r="U109" s="72">
        <v>8.54</v>
      </c>
      <c r="V109" s="50">
        <v>0.2</v>
      </c>
      <c r="W109" s="50">
        <v>0.15</v>
      </c>
      <c r="X109" s="44">
        <v>18</v>
      </c>
      <c r="Y109" s="44">
        <v>15</v>
      </c>
      <c r="Z109" s="44">
        <v>3</v>
      </c>
      <c r="AA109" s="73">
        <f t="shared" si="14"/>
        <v>0.135</v>
      </c>
      <c r="AB109" s="44">
        <v>0.1</v>
      </c>
      <c r="AC109" s="49">
        <v>45</v>
      </c>
      <c r="AD109" s="49">
        <v>15</v>
      </c>
      <c r="AE109" s="74">
        <v>11.8</v>
      </c>
      <c r="AF109" s="48">
        <f t="shared" si="21"/>
        <v>1.38173302107728</v>
      </c>
      <c r="AG109" s="75">
        <f t="shared" si="22"/>
        <v>6.075</v>
      </c>
      <c r="AH109" s="45">
        <f t="shared" si="23"/>
        <v>0.71135831381733</v>
      </c>
      <c r="AI109" s="45">
        <f t="shared" si="24"/>
        <v>2.025</v>
      </c>
      <c r="AJ109" s="45">
        <f t="shared" si="25"/>
        <v>0.23711943793911</v>
      </c>
      <c r="AK109" s="48">
        <f t="shared" si="26"/>
        <v>1.4985</v>
      </c>
      <c r="AL109" s="44">
        <v>2.42</v>
      </c>
      <c r="AM109" s="45">
        <f t="shared" si="27"/>
        <v>1.998</v>
      </c>
      <c r="AN109" s="76">
        <v>0</v>
      </c>
      <c r="AO109" s="45"/>
      <c r="AP109" s="46"/>
      <c r="AQ109" s="45">
        <v>0</v>
      </c>
      <c r="AR109" s="51" t="s">
        <v>713</v>
      </c>
      <c r="AS109" s="52" t="s">
        <v>714</v>
      </c>
      <c r="AT109" s="106">
        <v>3901109090</v>
      </c>
      <c r="AU109" s="95" t="s">
        <v>112</v>
      </c>
      <c r="AV109" s="95" t="s">
        <v>234</v>
      </c>
      <c r="AW109" s="95" t="s">
        <v>715</v>
      </c>
      <c r="AX109" s="52"/>
    </row>
    <row r="110" s="4" customFormat="1" ht="79" customHeight="1" spans="1:50">
      <c r="A110" s="40">
        <v>107</v>
      </c>
      <c r="B110" s="37">
        <v>46175</v>
      </c>
      <c r="C110" s="38" t="s">
        <v>716</v>
      </c>
      <c r="D110" s="39">
        <v>2640257</v>
      </c>
      <c r="E110" s="40" t="s">
        <v>649</v>
      </c>
      <c r="F110" s="55" t="s">
        <v>69</v>
      </c>
      <c r="G110" s="56"/>
      <c r="H110" s="79" t="s">
        <v>717</v>
      </c>
      <c r="I110" s="79" t="s">
        <v>701</v>
      </c>
      <c r="J110" s="51" t="s">
        <v>718</v>
      </c>
      <c r="K110" s="51"/>
      <c r="L110" s="51"/>
      <c r="M110" s="69">
        <v>5.99</v>
      </c>
      <c r="N110" s="45">
        <f t="shared" si="15"/>
        <v>1.95731733021077</v>
      </c>
      <c r="O110" s="46">
        <f t="shared" si="16"/>
        <v>16.71549</v>
      </c>
      <c r="P110" s="70">
        <f t="shared" si="17"/>
        <v>0.326764161971748</v>
      </c>
      <c r="Q110" s="45">
        <f t="shared" si="18"/>
        <v>2.04513934426229</v>
      </c>
      <c r="R110" s="46">
        <f t="shared" si="19"/>
        <v>17.46549</v>
      </c>
      <c r="S110" s="71">
        <f t="shared" si="20"/>
        <v>0.341425600043789</v>
      </c>
      <c r="T110" s="72" t="s">
        <v>61</v>
      </c>
      <c r="U110" s="72">
        <v>8.54</v>
      </c>
      <c r="V110" s="50">
        <v>0.2</v>
      </c>
      <c r="W110" s="50">
        <v>0.15</v>
      </c>
      <c r="X110" s="44">
        <v>9</v>
      </c>
      <c r="Y110" s="44">
        <v>8</v>
      </c>
      <c r="Z110" s="44">
        <v>0.7</v>
      </c>
      <c r="AA110" s="73">
        <f t="shared" si="14"/>
        <v>0.0084</v>
      </c>
      <c r="AB110" s="44">
        <v>0.025</v>
      </c>
      <c r="AC110" s="49">
        <v>45</v>
      </c>
      <c r="AD110" s="49">
        <v>15</v>
      </c>
      <c r="AE110" s="74">
        <v>2.6</v>
      </c>
      <c r="AF110" s="48">
        <f t="shared" si="21"/>
        <v>0.304449648711944</v>
      </c>
      <c r="AG110" s="75">
        <f t="shared" si="22"/>
        <v>1.125</v>
      </c>
      <c r="AH110" s="45">
        <f t="shared" si="23"/>
        <v>0.131733021077283</v>
      </c>
      <c r="AI110" s="45">
        <f t="shared" si="24"/>
        <v>0.375</v>
      </c>
      <c r="AJ110" s="45">
        <f t="shared" si="25"/>
        <v>0.0439110070257611</v>
      </c>
      <c r="AK110" s="48">
        <f t="shared" si="26"/>
        <v>0.8985</v>
      </c>
      <c r="AL110" s="44">
        <v>1.5</v>
      </c>
      <c r="AM110" s="45">
        <f t="shared" si="27"/>
        <v>1.198</v>
      </c>
      <c r="AN110" s="76">
        <v>0</v>
      </c>
      <c r="AO110" s="45"/>
      <c r="AP110" s="46"/>
      <c r="AQ110" s="45">
        <v>0</v>
      </c>
      <c r="AR110" s="51" t="s">
        <v>719</v>
      </c>
      <c r="AS110" s="52" t="s">
        <v>720</v>
      </c>
      <c r="AT110" s="106">
        <v>3901109090</v>
      </c>
      <c r="AU110" s="95" t="s">
        <v>112</v>
      </c>
      <c r="AV110" s="95" t="s">
        <v>416</v>
      </c>
      <c r="AW110" s="95" t="s">
        <v>450</v>
      </c>
      <c r="AX110" s="52" t="s">
        <v>721</v>
      </c>
    </row>
    <row r="111" s="4" customFormat="1" ht="79" customHeight="1" spans="1:50">
      <c r="A111" s="40">
        <v>108</v>
      </c>
      <c r="B111" s="37">
        <v>46175</v>
      </c>
      <c r="C111" s="38" t="s">
        <v>722</v>
      </c>
      <c r="D111" s="39">
        <v>2640258</v>
      </c>
      <c r="E111" s="40" t="s">
        <v>649</v>
      </c>
      <c r="F111" s="55"/>
      <c r="G111" s="56"/>
      <c r="H111" s="79" t="s">
        <v>717</v>
      </c>
      <c r="I111" s="79"/>
      <c r="J111" s="51"/>
      <c r="K111" s="51"/>
      <c r="L111" s="51" t="s">
        <v>723</v>
      </c>
      <c r="M111" s="69">
        <v>5.99</v>
      </c>
      <c r="N111" s="45">
        <f t="shared" si="15"/>
        <v>1.88413231850117</v>
      </c>
      <c r="O111" s="46">
        <f t="shared" si="16"/>
        <v>16.09049</v>
      </c>
      <c r="P111" s="70">
        <f t="shared" si="17"/>
        <v>0.314546296911715</v>
      </c>
      <c r="Q111" s="45">
        <f t="shared" si="18"/>
        <v>1.989518735363</v>
      </c>
      <c r="R111" s="46">
        <f t="shared" si="19"/>
        <v>16.99049</v>
      </c>
      <c r="S111" s="71">
        <f t="shared" si="20"/>
        <v>0.332140022598163</v>
      </c>
      <c r="T111" s="72" t="s">
        <v>61</v>
      </c>
      <c r="U111" s="72">
        <v>8.54</v>
      </c>
      <c r="V111" s="50">
        <v>0.2</v>
      </c>
      <c r="W111" s="50">
        <v>0.15</v>
      </c>
      <c r="X111" s="44">
        <v>7</v>
      </c>
      <c r="Y111" s="44">
        <v>7</v>
      </c>
      <c r="Z111" s="44">
        <v>0.8</v>
      </c>
      <c r="AA111" s="73">
        <f t="shared" si="14"/>
        <v>0.00653333333333333</v>
      </c>
      <c r="AB111" s="44">
        <v>0.03</v>
      </c>
      <c r="AC111" s="49">
        <v>45</v>
      </c>
      <c r="AD111" s="49">
        <v>15</v>
      </c>
      <c r="AE111" s="74">
        <v>3</v>
      </c>
      <c r="AF111" s="48">
        <f t="shared" si="21"/>
        <v>0.351288056206089</v>
      </c>
      <c r="AG111" s="75">
        <f t="shared" si="22"/>
        <v>1.35</v>
      </c>
      <c r="AH111" s="45">
        <f t="shared" si="23"/>
        <v>0.15807962529274</v>
      </c>
      <c r="AI111" s="45">
        <f t="shared" si="24"/>
        <v>0.45</v>
      </c>
      <c r="AJ111" s="45">
        <f t="shared" si="25"/>
        <v>0.0526932084309134</v>
      </c>
      <c r="AK111" s="48">
        <f t="shared" si="26"/>
        <v>0.8985</v>
      </c>
      <c r="AL111" s="44">
        <v>1.5</v>
      </c>
      <c r="AM111" s="45">
        <f t="shared" si="27"/>
        <v>1.198</v>
      </c>
      <c r="AN111" s="76">
        <v>0</v>
      </c>
      <c r="AO111" s="45"/>
      <c r="AP111" s="46"/>
      <c r="AQ111" s="45">
        <v>0</v>
      </c>
      <c r="AR111" s="51" t="s">
        <v>724</v>
      </c>
      <c r="AS111" s="52" t="s">
        <v>725</v>
      </c>
      <c r="AT111" s="106">
        <v>3901109090</v>
      </c>
      <c r="AU111" s="95" t="s">
        <v>112</v>
      </c>
      <c r="AV111" s="95" t="s">
        <v>416</v>
      </c>
      <c r="AW111" s="95" t="s">
        <v>450</v>
      </c>
      <c r="AX111" s="52"/>
    </row>
    <row r="112" s="4" customFormat="1" ht="79" customHeight="1" spans="1:50">
      <c r="A112" s="40">
        <v>109</v>
      </c>
      <c r="B112" s="37">
        <v>46175</v>
      </c>
      <c r="C112" s="38" t="s">
        <v>726</v>
      </c>
      <c r="D112" s="39">
        <v>2640259</v>
      </c>
      <c r="E112" s="40" t="s">
        <v>649</v>
      </c>
      <c r="F112" s="55" t="s">
        <v>205</v>
      </c>
      <c r="G112" s="56"/>
      <c r="H112" s="79" t="s">
        <v>727</v>
      </c>
      <c r="I112" s="79"/>
      <c r="J112" s="51" t="s">
        <v>728</v>
      </c>
      <c r="K112" s="51"/>
      <c r="L112" s="51" t="s">
        <v>729</v>
      </c>
      <c r="M112" s="69">
        <v>7.99</v>
      </c>
      <c r="N112" s="45">
        <f t="shared" si="15"/>
        <v>2.0115093676815</v>
      </c>
      <c r="O112" s="46">
        <f t="shared" si="16"/>
        <v>17.17829</v>
      </c>
      <c r="P112" s="70">
        <f t="shared" si="17"/>
        <v>0.251753362663517</v>
      </c>
      <c r="Q112" s="45">
        <f t="shared" si="18"/>
        <v>2.43305503512881</v>
      </c>
      <c r="R112" s="46">
        <f t="shared" si="19"/>
        <v>20.77829</v>
      </c>
      <c r="S112" s="71">
        <f t="shared" si="20"/>
        <v>0.304512520041152</v>
      </c>
      <c r="T112" s="72" t="s">
        <v>61</v>
      </c>
      <c r="U112" s="72">
        <v>8.54</v>
      </c>
      <c r="V112" s="50">
        <v>0.2</v>
      </c>
      <c r="W112" s="50">
        <v>0.15</v>
      </c>
      <c r="X112" s="44">
        <v>20</v>
      </c>
      <c r="Y112" s="44">
        <v>14</v>
      </c>
      <c r="Z112" s="44">
        <v>1</v>
      </c>
      <c r="AA112" s="73">
        <f>X112*Y112*Z112/6000</f>
        <v>0.0466666666666667</v>
      </c>
      <c r="AB112" s="44">
        <v>0.12</v>
      </c>
      <c r="AC112" s="49">
        <v>45</v>
      </c>
      <c r="AD112" s="49">
        <v>15</v>
      </c>
      <c r="AE112" s="74">
        <v>7</v>
      </c>
      <c r="AF112" s="48">
        <f t="shared" si="21"/>
        <v>0.819672131147541</v>
      </c>
      <c r="AG112" s="75">
        <f t="shared" si="22"/>
        <v>5.4</v>
      </c>
      <c r="AH112" s="45">
        <f t="shared" si="23"/>
        <v>0.63231850117096</v>
      </c>
      <c r="AI112" s="45">
        <f t="shared" si="24"/>
        <v>1.8</v>
      </c>
      <c r="AJ112" s="45">
        <f t="shared" si="25"/>
        <v>0.210772833723653</v>
      </c>
      <c r="AK112" s="48">
        <f t="shared" si="26"/>
        <v>1.1985</v>
      </c>
      <c r="AL112" s="44">
        <v>1.73</v>
      </c>
      <c r="AM112" s="45">
        <f t="shared" si="27"/>
        <v>1.598</v>
      </c>
      <c r="AN112" s="76">
        <v>0</v>
      </c>
      <c r="AO112" s="45"/>
      <c r="AP112" s="46"/>
      <c r="AQ112" s="45">
        <v>0</v>
      </c>
      <c r="AR112" s="51" t="s">
        <v>730</v>
      </c>
      <c r="AS112" s="52" t="s">
        <v>396</v>
      </c>
      <c r="AT112" s="106">
        <v>4202990090</v>
      </c>
      <c r="AU112" s="95" t="s">
        <v>731</v>
      </c>
      <c r="AV112" s="95" t="s">
        <v>257</v>
      </c>
      <c r="AW112" s="95" t="s">
        <v>258</v>
      </c>
      <c r="AX112" s="52" t="s">
        <v>732</v>
      </c>
    </row>
    <row r="113" s="4" customFormat="1" ht="79" customHeight="1" spans="1:50">
      <c r="A113" s="40">
        <v>110</v>
      </c>
      <c r="B113" s="37">
        <v>46175</v>
      </c>
      <c r="C113" s="38" t="s">
        <v>733</v>
      </c>
      <c r="D113" s="39">
        <v>2640260</v>
      </c>
      <c r="E113" s="40" t="s">
        <v>649</v>
      </c>
      <c r="F113" s="55"/>
      <c r="G113" s="56"/>
      <c r="H113" s="79" t="s">
        <v>734</v>
      </c>
      <c r="I113" s="79"/>
      <c r="J113" s="51" t="s">
        <v>735</v>
      </c>
      <c r="K113" s="51"/>
      <c r="L113" s="51"/>
      <c r="M113" s="69">
        <v>11.99</v>
      </c>
      <c r="N113" s="45">
        <f t="shared" si="15"/>
        <v>2.50001053864168</v>
      </c>
      <c r="O113" s="46">
        <f t="shared" si="16"/>
        <v>21.35009</v>
      </c>
      <c r="P113" s="70">
        <f t="shared" si="17"/>
        <v>0.208507968193635</v>
      </c>
      <c r="Q113" s="45">
        <f t="shared" si="18"/>
        <v>3.74591217798595</v>
      </c>
      <c r="R113" s="46">
        <f t="shared" si="19"/>
        <v>31.99009</v>
      </c>
      <c r="S113" s="71">
        <f t="shared" si="20"/>
        <v>0.312419697913757</v>
      </c>
      <c r="T113" s="72" t="s">
        <v>61</v>
      </c>
      <c r="U113" s="72">
        <v>8.54</v>
      </c>
      <c r="V113" s="50">
        <v>0.2</v>
      </c>
      <c r="W113" s="50">
        <v>0.15</v>
      </c>
      <c r="X113" s="44">
        <v>38</v>
      </c>
      <c r="Y113" s="44">
        <v>28</v>
      </c>
      <c r="Z113" s="44">
        <v>2</v>
      </c>
      <c r="AA113" s="73">
        <f>X113*Y113*Z113/6000</f>
        <v>0.354666666666667</v>
      </c>
      <c r="AB113" s="44">
        <v>0.29</v>
      </c>
      <c r="AC113" s="49">
        <v>45</v>
      </c>
      <c r="AD113" s="49">
        <v>15</v>
      </c>
      <c r="AE113" s="74">
        <v>10.8</v>
      </c>
      <c r="AF113" s="48">
        <f t="shared" si="21"/>
        <v>1.26463700234192</v>
      </c>
      <c r="AG113" s="75">
        <f t="shared" si="22"/>
        <v>15.96</v>
      </c>
      <c r="AH113" s="45">
        <f t="shared" si="23"/>
        <v>1.8688524590164</v>
      </c>
      <c r="AI113" s="45">
        <f t="shared" si="24"/>
        <v>5.32000000000001</v>
      </c>
      <c r="AJ113" s="45">
        <f t="shared" si="25"/>
        <v>0.622950819672132</v>
      </c>
      <c r="AK113" s="48">
        <f t="shared" si="26"/>
        <v>1.7985</v>
      </c>
      <c r="AL113" s="44">
        <v>2.16</v>
      </c>
      <c r="AM113" s="45">
        <f t="shared" si="27"/>
        <v>2.398</v>
      </c>
      <c r="AN113" s="76">
        <v>0</v>
      </c>
      <c r="AO113" s="45"/>
      <c r="AP113" s="46"/>
      <c r="AQ113" s="45">
        <v>0</v>
      </c>
      <c r="AR113" s="51" t="s">
        <v>736</v>
      </c>
      <c r="AS113" s="52" t="s">
        <v>737</v>
      </c>
      <c r="AT113" s="106">
        <v>6115990000</v>
      </c>
      <c r="AU113" s="95" t="s">
        <v>738</v>
      </c>
      <c r="AV113" s="95" t="s">
        <v>739</v>
      </c>
      <c r="AW113" s="95" t="s">
        <v>740</v>
      </c>
      <c r="AX113" s="52"/>
    </row>
    <row r="114" s="4" customFormat="1" ht="79" customHeight="1" spans="1:50">
      <c r="A114" s="40">
        <v>111</v>
      </c>
      <c r="B114" s="37">
        <v>46175</v>
      </c>
      <c r="C114" s="38" t="s">
        <v>741</v>
      </c>
      <c r="D114" s="39">
        <v>2640261</v>
      </c>
      <c r="E114" s="40" t="s">
        <v>649</v>
      </c>
      <c r="F114" s="55" t="s">
        <v>69</v>
      </c>
      <c r="G114" s="56"/>
      <c r="H114" s="79" t="s">
        <v>742</v>
      </c>
      <c r="I114" s="79"/>
      <c r="J114" s="51" t="s">
        <v>743</v>
      </c>
      <c r="K114" s="51"/>
      <c r="L114" s="51" t="s">
        <v>744</v>
      </c>
      <c r="M114" s="69">
        <v>6.99</v>
      </c>
      <c r="N114" s="45">
        <f t="shared" si="15"/>
        <v>1.92502224824356</v>
      </c>
      <c r="O114" s="46">
        <f t="shared" si="16"/>
        <v>16.43969</v>
      </c>
      <c r="P114" s="70">
        <f t="shared" si="17"/>
        <v>0.275396602037705</v>
      </c>
      <c r="Q114" s="45">
        <f t="shared" si="18"/>
        <v>2.27631030444965</v>
      </c>
      <c r="R114" s="46">
        <f t="shared" si="19"/>
        <v>19.43969</v>
      </c>
      <c r="S114" s="71">
        <f t="shared" si="20"/>
        <v>0.32565240407005</v>
      </c>
      <c r="T114" s="72" t="s">
        <v>61</v>
      </c>
      <c r="U114" s="72">
        <v>8.54</v>
      </c>
      <c r="V114" s="50">
        <v>0.2</v>
      </c>
      <c r="W114" s="50">
        <v>0.15</v>
      </c>
      <c r="X114" s="44">
        <v>30</v>
      </c>
      <c r="Y114" s="44">
        <v>20</v>
      </c>
      <c r="Z114" s="44">
        <v>1</v>
      </c>
      <c r="AA114" s="73">
        <f t="shared" ref="AA114:AA127" si="28">(X114*Y114*Z114)/6000</f>
        <v>0.1</v>
      </c>
      <c r="AB114" s="44">
        <v>0.08</v>
      </c>
      <c r="AC114" s="49">
        <v>45</v>
      </c>
      <c r="AD114" s="49">
        <v>15</v>
      </c>
      <c r="AE114" s="74">
        <v>3.6</v>
      </c>
      <c r="AF114" s="48">
        <f t="shared" si="21"/>
        <v>0.421545667447307</v>
      </c>
      <c r="AG114" s="75">
        <f t="shared" si="22"/>
        <v>4.5</v>
      </c>
      <c r="AH114" s="45">
        <f t="shared" si="23"/>
        <v>0.526932084309134</v>
      </c>
      <c r="AI114" s="45">
        <f t="shared" si="24"/>
        <v>1.5</v>
      </c>
      <c r="AJ114" s="45">
        <f t="shared" si="25"/>
        <v>0.175644028103045</v>
      </c>
      <c r="AK114" s="48">
        <f t="shared" si="26"/>
        <v>1.0485</v>
      </c>
      <c r="AL114" s="44">
        <v>1.67</v>
      </c>
      <c r="AM114" s="45">
        <f t="shared" si="27"/>
        <v>1.398</v>
      </c>
      <c r="AN114" s="76">
        <v>0</v>
      </c>
      <c r="AO114" s="45"/>
      <c r="AP114" s="46"/>
      <c r="AQ114" s="45">
        <v>0</v>
      </c>
      <c r="AR114" s="51" t="s">
        <v>745</v>
      </c>
      <c r="AS114" s="52" t="s">
        <v>746</v>
      </c>
      <c r="AT114" s="106">
        <v>7318159589</v>
      </c>
      <c r="AU114" s="95" t="s">
        <v>162</v>
      </c>
      <c r="AV114" s="95" t="s">
        <v>747</v>
      </c>
      <c r="AW114" s="95" t="s">
        <v>748</v>
      </c>
      <c r="AX114" s="52"/>
    </row>
    <row r="115" s="4" customFormat="1" ht="79" customHeight="1" spans="1:50">
      <c r="A115" s="40">
        <v>112</v>
      </c>
      <c r="B115" s="37">
        <v>46175</v>
      </c>
      <c r="C115" s="38" t="s">
        <v>749</v>
      </c>
      <c r="D115" s="39">
        <v>2640262</v>
      </c>
      <c r="E115" s="40" t="s">
        <v>649</v>
      </c>
      <c r="F115" s="55" t="s">
        <v>74</v>
      </c>
      <c r="G115" s="56"/>
      <c r="H115" s="79" t="s">
        <v>742</v>
      </c>
      <c r="I115" s="79"/>
      <c r="J115" s="51" t="s">
        <v>743</v>
      </c>
      <c r="K115" s="51"/>
      <c r="L115" s="51" t="s">
        <v>744</v>
      </c>
      <c r="M115" s="69">
        <v>6.99</v>
      </c>
      <c r="N115" s="45">
        <f t="shared" si="15"/>
        <v>1.92502224824356</v>
      </c>
      <c r="O115" s="46">
        <f t="shared" si="16"/>
        <v>16.43969</v>
      </c>
      <c r="P115" s="70">
        <f t="shared" si="17"/>
        <v>0.275396602037705</v>
      </c>
      <c r="Q115" s="45">
        <f t="shared" si="18"/>
        <v>2.27631030444965</v>
      </c>
      <c r="R115" s="46">
        <f t="shared" si="19"/>
        <v>19.43969</v>
      </c>
      <c r="S115" s="71">
        <f t="shared" si="20"/>
        <v>0.32565240407005</v>
      </c>
      <c r="T115" s="72" t="s">
        <v>61</v>
      </c>
      <c r="U115" s="72">
        <v>8.54</v>
      </c>
      <c r="V115" s="50">
        <v>0.2</v>
      </c>
      <c r="W115" s="50">
        <v>0.15</v>
      </c>
      <c r="X115" s="44">
        <v>30</v>
      </c>
      <c r="Y115" s="44">
        <v>20</v>
      </c>
      <c r="Z115" s="44">
        <v>1</v>
      </c>
      <c r="AA115" s="73">
        <f t="shared" si="28"/>
        <v>0.1</v>
      </c>
      <c r="AB115" s="44">
        <v>0.08</v>
      </c>
      <c r="AC115" s="49">
        <v>45</v>
      </c>
      <c r="AD115" s="49">
        <v>15</v>
      </c>
      <c r="AE115" s="74">
        <v>3.6</v>
      </c>
      <c r="AF115" s="48">
        <f t="shared" si="21"/>
        <v>0.421545667447307</v>
      </c>
      <c r="AG115" s="75">
        <f t="shared" si="22"/>
        <v>4.5</v>
      </c>
      <c r="AH115" s="45">
        <f t="shared" si="23"/>
        <v>0.526932084309134</v>
      </c>
      <c r="AI115" s="45">
        <f t="shared" si="24"/>
        <v>1.5</v>
      </c>
      <c r="AJ115" s="45">
        <f t="shared" si="25"/>
        <v>0.175644028103045</v>
      </c>
      <c r="AK115" s="48">
        <f t="shared" si="26"/>
        <v>1.0485</v>
      </c>
      <c r="AL115" s="44">
        <v>1.67</v>
      </c>
      <c r="AM115" s="45">
        <f t="shared" si="27"/>
        <v>1.398</v>
      </c>
      <c r="AN115" s="76">
        <v>0</v>
      </c>
      <c r="AO115" s="45"/>
      <c r="AP115" s="46"/>
      <c r="AQ115" s="45">
        <v>0</v>
      </c>
      <c r="AR115" s="51" t="s">
        <v>745</v>
      </c>
      <c r="AS115" s="52" t="s">
        <v>746</v>
      </c>
      <c r="AT115" s="106">
        <v>7318159589</v>
      </c>
      <c r="AU115" s="95" t="s">
        <v>162</v>
      </c>
      <c r="AV115" s="95" t="s">
        <v>747</v>
      </c>
      <c r="AW115" s="95" t="s">
        <v>748</v>
      </c>
      <c r="AX115" s="52"/>
    </row>
    <row r="116" s="4" customFormat="1" ht="79" customHeight="1" spans="1:50">
      <c r="A116" s="40">
        <v>113</v>
      </c>
      <c r="B116" s="37">
        <v>46175</v>
      </c>
      <c r="C116" s="38" t="s">
        <v>750</v>
      </c>
      <c r="D116" s="39">
        <v>2640263</v>
      </c>
      <c r="E116" s="40" t="s">
        <v>649</v>
      </c>
      <c r="F116" s="55" t="s">
        <v>205</v>
      </c>
      <c r="G116" s="56"/>
      <c r="H116" s="79" t="s">
        <v>751</v>
      </c>
      <c r="I116" s="79"/>
      <c r="J116" s="51" t="s">
        <v>752</v>
      </c>
      <c r="K116" s="51"/>
      <c r="L116" s="51" t="s">
        <v>753</v>
      </c>
      <c r="M116" s="69">
        <v>6.99</v>
      </c>
      <c r="N116" s="45">
        <f t="shared" si="15"/>
        <v>1.92502224824356</v>
      </c>
      <c r="O116" s="46">
        <f t="shared" si="16"/>
        <v>16.43969</v>
      </c>
      <c r="P116" s="70">
        <f t="shared" si="17"/>
        <v>0.275396602037705</v>
      </c>
      <c r="Q116" s="45">
        <f t="shared" si="18"/>
        <v>2.27631030444965</v>
      </c>
      <c r="R116" s="46">
        <f t="shared" si="19"/>
        <v>19.43969</v>
      </c>
      <c r="S116" s="71">
        <f t="shared" si="20"/>
        <v>0.32565240407005</v>
      </c>
      <c r="T116" s="72" t="s">
        <v>61</v>
      </c>
      <c r="U116" s="72">
        <v>8.54</v>
      </c>
      <c r="V116" s="50">
        <v>0.2</v>
      </c>
      <c r="W116" s="50">
        <v>0.15</v>
      </c>
      <c r="X116" s="44">
        <v>30</v>
      </c>
      <c r="Y116" s="44">
        <v>20</v>
      </c>
      <c r="Z116" s="44">
        <v>1</v>
      </c>
      <c r="AA116" s="73">
        <f t="shared" si="28"/>
        <v>0.1</v>
      </c>
      <c r="AB116" s="44">
        <v>0.08</v>
      </c>
      <c r="AC116" s="49">
        <v>45</v>
      </c>
      <c r="AD116" s="49">
        <v>15</v>
      </c>
      <c r="AE116" s="74">
        <v>3.6</v>
      </c>
      <c r="AF116" s="48">
        <f t="shared" si="21"/>
        <v>0.421545667447307</v>
      </c>
      <c r="AG116" s="75">
        <f t="shared" si="22"/>
        <v>4.5</v>
      </c>
      <c r="AH116" s="45">
        <f t="shared" si="23"/>
        <v>0.526932084309134</v>
      </c>
      <c r="AI116" s="45">
        <f t="shared" si="24"/>
        <v>1.5</v>
      </c>
      <c r="AJ116" s="45">
        <f t="shared" si="25"/>
        <v>0.175644028103045</v>
      </c>
      <c r="AK116" s="48">
        <f t="shared" si="26"/>
        <v>1.0485</v>
      </c>
      <c r="AL116" s="44">
        <v>1.67</v>
      </c>
      <c r="AM116" s="45">
        <f t="shared" si="27"/>
        <v>1.398</v>
      </c>
      <c r="AN116" s="76">
        <v>0</v>
      </c>
      <c r="AO116" s="45"/>
      <c r="AP116" s="46"/>
      <c r="AQ116" s="45">
        <v>0</v>
      </c>
      <c r="AR116" s="51" t="s">
        <v>745</v>
      </c>
      <c r="AS116" s="52" t="s">
        <v>746</v>
      </c>
      <c r="AT116" s="106">
        <v>7318159589</v>
      </c>
      <c r="AU116" s="95" t="s">
        <v>162</v>
      </c>
      <c r="AV116" s="95" t="s">
        <v>747</v>
      </c>
      <c r="AW116" s="95" t="s">
        <v>748</v>
      </c>
      <c r="AX116" s="52"/>
    </row>
    <row r="117" s="4" customFormat="1" ht="79" customHeight="1" spans="1:50">
      <c r="A117" s="40">
        <v>114</v>
      </c>
      <c r="B117" s="37">
        <v>46175</v>
      </c>
      <c r="C117" s="38" t="s">
        <v>754</v>
      </c>
      <c r="D117" s="39">
        <v>2640264</v>
      </c>
      <c r="E117" s="40" t="s">
        <v>649</v>
      </c>
      <c r="F117" s="55" t="s">
        <v>205</v>
      </c>
      <c r="G117" s="56"/>
      <c r="H117" s="79" t="s">
        <v>751</v>
      </c>
      <c r="I117" s="79"/>
      <c r="J117" s="51" t="s">
        <v>752</v>
      </c>
      <c r="K117" s="51"/>
      <c r="L117" s="51" t="s">
        <v>753</v>
      </c>
      <c r="M117" s="69">
        <v>6.99</v>
      </c>
      <c r="N117" s="45">
        <f t="shared" si="15"/>
        <v>1.92502224824356</v>
      </c>
      <c r="O117" s="46">
        <f t="shared" si="16"/>
        <v>16.43969</v>
      </c>
      <c r="P117" s="70">
        <f t="shared" si="17"/>
        <v>0.275396602037705</v>
      </c>
      <c r="Q117" s="45">
        <f t="shared" si="18"/>
        <v>2.27631030444965</v>
      </c>
      <c r="R117" s="46">
        <f t="shared" si="19"/>
        <v>19.43969</v>
      </c>
      <c r="S117" s="71">
        <f t="shared" si="20"/>
        <v>0.32565240407005</v>
      </c>
      <c r="T117" s="72" t="s">
        <v>61</v>
      </c>
      <c r="U117" s="72">
        <v>8.54</v>
      </c>
      <c r="V117" s="50">
        <v>0.2</v>
      </c>
      <c r="W117" s="50">
        <v>0.15</v>
      </c>
      <c r="X117" s="44">
        <v>30</v>
      </c>
      <c r="Y117" s="44">
        <v>20</v>
      </c>
      <c r="Z117" s="44">
        <v>1</v>
      </c>
      <c r="AA117" s="73">
        <f t="shared" si="28"/>
        <v>0.1</v>
      </c>
      <c r="AB117" s="44">
        <v>0.08</v>
      </c>
      <c r="AC117" s="49">
        <v>45</v>
      </c>
      <c r="AD117" s="49">
        <v>15</v>
      </c>
      <c r="AE117" s="74">
        <v>3.6</v>
      </c>
      <c r="AF117" s="48">
        <f t="shared" si="21"/>
        <v>0.421545667447307</v>
      </c>
      <c r="AG117" s="75">
        <f t="shared" si="22"/>
        <v>4.5</v>
      </c>
      <c r="AH117" s="45">
        <f t="shared" si="23"/>
        <v>0.526932084309134</v>
      </c>
      <c r="AI117" s="45">
        <f t="shared" si="24"/>
        <v>1.5</v>
      </c>
      <c r="AJ117" s="45">
        <f t="shared" si="25"/>
        <v>0.175644028103045</v>
      </c>
      <c r="AK117" s="48">
        <f t="shared" si="26"/>
        <v>1.0485</v>
      </c>
      <c r="AL117" s="44">
        <v>1.67</v>
      </c>
      <c r="AM117" s="45">
        <f t="shared" si="27"/>
        <v>1.398</v>
      </c>
      <c r="AN117" s="76">
        <v>0</v>
      </c>
      <c r="AO117" s="45"/>
      <c r="AP117" s="46"/>
      <c r="AQ117" s="45">
        <v>0</v>
      </c>
      <c r="AR117" s="51" t="s">
        <v>745</v>
      </c>
      <c r="AS117" s="52" t="s">
        <v>746</v>
      </c>
      <c r="AT117" s="106">
        <v>7318159589</v>
      </c>
      <c r="AU117" s="95" t="s">
        <v>162</v>
      </c>
      <c r="AV117" s="95" t="s">
        <v>747</v>
      </c>
      <c r="AW117" s="95" t="s">
        <v>748</v>
      </c>
      <c r="AX117" s="52"/>
    </row>
    <row r="118" s="4" customFormat="1" ht="79" customHeight="1" spans="1:50">
      <c r="A118" s="40">
        <v>115</v>
      </c>
      <c r="B118" s="37">
        <v>46175</v>
      </c>
      <c r="C118" s="38" t="s">
        <v>755</v>
      </c>
      <c r="D118" s="39">
        <v>2640265</v>
      </c>
      <c r="E118" s="40" t="s">
        <v>649</v>
      </c>
      <c r="F118" s="55"/>
      <c r="G118" s="56"/>
      <c r="H118" s="79" t="s">
        <v>756</v>
      </c>
      <c r="I118" s="79" t="s">
        <v>701</v>
      </c>
      <c r="J118" s="51" t="s">
        <v>757</v>
      </c>
      <c r="K118" s="51"/>
      <c r="L118" s="51" t="s">
        <v>758</v>
      </c>
      <c r="M118" s="69">
        <v>9.99</v>
      </c>
      <c r="N118" s="45">
        <f t="shared" si="15"/>
        <v>1.80097072599531</v>
      </c>
      <c r="O118" s="46">
        <f t="shared" si="16"/>
        <v>15.38029</v>
      </c>
      <c r="P118" s="70">
        <f t="shared" si="17"/>
        <v>0.180277349949481</v>
      </c>
      <c r="Q118" s="45">
        <f t="shared" si="18"/>
        <v>2.50354683840749</v>
      </c>
      <c r="R118" s="46">
        <f t="shared" si="19"/>
        <v>21.38029</v>
      </c>
      <c r="S118" s="71">
        <f t="shared" si="20"/>
        <v>0.250605289129879</v>
      </c>
      <c r="T118" s="72" t="s">
        <v>61</v>
      </c>
      <c r="U118" s="72">
        <v>8.54</v>
      </c>
      <c r="V118" s="50">
        <v>0.2</v>
      </c>
      <c r="W118" s="50">
        <v>0.15</v>
      </c>
      <c r="X118" s="44">
        <v>18</v>
      </c>
      <c r="Y118" s="44">
        <v>10</v>
      </c>
      <c r="Z118" s="44">
        <v>4</v>
      </c>
      <c r="AA118" s="73">
        <f t="shared" si="28"/>
        <v>0.12</v>
      </c>
      <c r="AB118" s="44">
        <v>0.2</v>
      </c>
      <c r="AC118" s="49">
        <v>45</v>
      </c>
      <c r="AD118" s="49">
        <v>15</v>
      </c>
      <c r="AE118" s="74">
        <v>16.3</v>
      </c>
      <c r="AF118" s="48">
        <f t="shared" si="21"/>
        <v>1.90866510538642</v>
      </c>
      <c r="AG118" s="75">
        <f t="shared" si="22"/>
        <v>9</v>
      </c>
      <c r="AH118" s="45">
        <f t="shared" si="23"/>
        <v>1.05386416861827</v>
      </c>
      <c r="AI118" s="45">
        <f t="shared" si="24"/>
        <v>3</v>
      </c>
      <c r="AJ118" s="45">
        <f t="shared" si="25"/>
        <v>0.351288056206089</v>
      </c>
      <c r="AK118" s="48">
        <f t="shared" si="26"/>
        <v>1.4985</v>
      </c>
      <c r="AL118" s="44">
        <v>1.73</v>
      </c>
      <c r="AM118" s="45">
        <f t="shared" si="27"/>
        <v>1.998</v>
      </c>
      <c r="AN118" s="76">
        <v>0</v>
      </c>
      <c r="AO118" s="45"/>
      <c r="AP118" s="46"/>
      <c r="AQ118" s="45">
        <v>0</v>
      </c>
      <c r="AR118" s="51" t="s">
        <v>759</v>
      </c>
      <c r="AS118" s="52" t="s">
        <v>760</v>
      </c>
      <c r="AT118" s="106">
        <v>6115990000</v>
      </c>
      <c r="AU118" s="95" t="s">
        <v>738</v>
      </c>
      <c r="AV118" s="95" t="s">
        <v>761</v>
      </c>
      <c r="AW118" s="95" t="s">
        <v>762</v>
      </c>
      <c r="AX118" s="52" t="s">
        <v>763</v>
      </c>
    </row>
    <row r="119" s="4" customFormat="1" ht="79" customHeight="1" spans="1:50">
      <c r="A119" s="40">
        <v>116</v>
      </c>
      <c r="B119" s="37">
        <v>46175</v>
      </c>
      <c r="C119" s="38" t="s">
        <v>764</v>
      </c>
      <c r="D119" s="39">
        <v>2640266</v>
      </c>
      <c r="E119" s="40" t="s">
        <v>649</v>
      </c>
      <c r="F119" s="55" t="s">
        <v>205</v>
      </c>
      <c r="G119" s="56"/>
      <c r="H119" s="79" t="s">
        <v>765</v>
      </c>
      <c r="I119" s="79" t="s">
        <v>701</v>
      </c>
      <c r="J119" s="51" t="s">
        <v>766</v>
      </c>
      <c r="K119" s="51"/>
      <c r="L119" s="51"/>
      <c r="M119" s="69">
        <v>5.99</v>
      </c>
      <c r="N119" s="45">
        <f t="shared" si="15"/>
        <v>1.83436651053864</v>
      </c>
      <c r="O119" s="46">
        <f t="shared" si="16"/>
        <v>15.66549</v>
      </c>
      <c r="P119" s="70">
        <f t="shared" si="17"/>
        <v>0.306238148670892</v>
      </c>
      <c r="Q119" s="45">
        <f t="shared" si="18"/>
        <v>1.95731733021077</v>
      </c>
      <c r="R119" s="46">
        <f t="shared" si="19"/>
        <v>16.71549</v>
      </c>
      <c r="S119" s="71">
        <f t="shared" si="20"/>
        <v>0.326764161971748</v>
      </c>
      <c r="T119" s="72" t="s">
        <v>61</v>
      </c>
      <c r="U119" s="72">
        <v>8.54</v>
      </c>
      <c r="V119" s="50">
        <v>0.2</v>
      </c>
      <c r="W119" s="50">
        <v>0.15</v>
      </c>
      <c r="X119" s="44">
        <v>15</v>
      </c>
      <c r="Y119" s="44">
        <v>5</v>
      </c>
      <c r="Z119" s="44">
        <v>0.3</v>
      </c>
      <c r="AA119" s="73">
        <f t="shared" si="28"/>
        <v>0.00375</v>
      </c>
      <c r="AB119" s="44">
        <v>0.035</v>
      </c>
      <c r="AC119" s="49">
        <v>45</v>
      </c>
      <c r="AD119" s="49">
        <v>15</v>
      </c>
      <c r="AE119" s="74">
        <v>3.2</v>
      </c>
      <c r="AF119" s="48">
        <f t="shared" si="21"/>
        <v>0.374707259953162</v>
      </c>
      <c r="AG119" s="75">
        <f t="shared" si="22"/>
        <v>1.575</v>
      </c>
      <c r="AH119" s="45">
        <f t="shared" si="23"/>
        <v>0.184426229508197</v>
      </c>
      <c r="AI119" s="45">
        <f t="shared" si="24"/>
        <v>0.525</v>
      </c>
      <c r="AJ119" s="45">
        <f t="shared" si="25"/>
        <v>0.0614754098360656</v>
      </c>
      <c r="AK119" s="48">
        <f t="shared" si="26"/>
        <v>0.8985</v>
      </c>
      <c r="AL119" s="44">
        <v>1.5</v>
      </c>
      <c r="AM119" s="45">
        <f t="shared" si="27"/>
        <v>1.198</v>
      </c>
      <c r="AN119" s="76">
        <v>0</v>
      </c>
      <c r="AO119" s="45"/>
      <c r="AP119" s="46"/>
      <c r="AQ119" s="45">
        <v>0</v>
      </c>
      <c r="AR119" s="51" t="s">
        <v>767</v>
      </c>
      <c r="AS119" s="52" t="s">
        <v>768</v>
      </c>
      <c r="AT119" s="106">
        <v>3901109090</v>
      </c>
      <c r="AU119" s="95" t="s">
        <v>112</v>
      </c>
      <c r="AV119" s="95" t="s">
        <v>769</v>
      </c>
      <c r="AW119" s="95" t="s">
        <v>770</v>
      </c>
      <c r="AX119" s="52" t="s">
        <v>771</v>
      </c>
    </row>
    <row r="120" s="4" customFormat="1" ht="79" customHeight="1" spans="1:50">
      <c r="A120" s="40">
        <v>117</v>
      </c>
      <c r="B120" s="37">
        <v>46175</v>
      </c>
      <c r="C120" s="38" t="s">
        <v>772</v>
      </c>
      <c r="D120" s="39">
        <v>2640267</v>
      </c>
      <c r="E120" s="40" t="s">
        <v>649</v>
      </c>
      <c r="F120" s="55" t="s">
        <v>69</v>
      </c>
      <c r="G120" s="56"/>
      <c r="H120" s="79" t="s">
        <v>765</v>
      </c>
      <c r="I120" s="79" t="s">
        <v>701</v>
      </c>
      <c r="J120" s="51" t="s">
        <v>773</v>
      </c>
      <c r="K120" s="51"/>
      <c r="L120" s="51"/>
      <c r="M120" s="69">
        <v>5.99</v>
      </c>
      <c r="N120" s="45">
        <f t="shared" si="15"/>
        <v>1.83436651053864</v>
      </c>
      <c r="O120" s="46">
        <f t="shared" si="16"/>
        <v>15.66549</v>
      </c>
      <c r="P120" s="70">
        <f t="shared" si="17"/>
        <v>0.306238148670892</v>
      </c>
      <c r="Q120" s="45">
        <f t="shared" si="18"/>
        <v>1.95731733021077</v>
      </c>
      <c r="R120" s="46">
        <f t="shared" si="19"/>
        <v>16.71549</v>
      </c>
      <c r="S120" s="71">
        <f t="shared" si="20"/>
        <v>0.326764161971748</v>
      </c>
      <c r="T120" s="72" t="s">
        <v>61</v>
      </c>
      <c r="U120" s="72">
        <v>8.54</v>
      </c>
      <c r="V120" s="50">
        <v>0.2</v>
      </c>
      <c r="W120" s="50">
        <v>0.15</v>
      </c>
      <c r="X120" s="44">
        <v>15</v>
      </c>
      <c r="Y120" s="44">
        <v>5</v>
      </c>
      <c r="Z120" s="44">
        <v>0.3</v>
      </c>
      <c r="AA120" s="73">
        <f t="shared" si="28"/>
        <v>0.00375</v>
      </c>
      <c r="AB120" s="44">
        <v>0.035</v>
      </c>
      <c r="AC120" s="49">
        <v>45</v>
      </c>
      <c r="AD120" s="49">
        <v>15</v>
      </c>
      <c r="AE120" s="74">
        <v>3.2</v>
      </c>
      <c r="AF120" s="48">
        <f t="shared" si="21"/>
        <v>0.374707259953162</v>
      </c>
      <c r="AG120" s="75">
        <f t="shared" si="22"/>
        <v>1.575</v>
      </c>
      <c r="AH120" s="45">
        <f t="shared" si="23"/>
        <v>0.184426229508197</v>
      </c>
      <c r="AI120" s="45">
        <f t="shared" si="24"/>
        <v>0.525</v>
      </c>
      <c r="AJ120" s="45">
        <f t="shared" si="25"/>
        <v>0.0614754098360656</v>
      </c>
      <c r="AK120" s="48">
        <f t="shared" si="26"/>
        <v>0.8985</v>
      </c>
      <c r="AL120" s="44">
        <v>1.5</v>
      </c>
      <c r="AM120" s="45">
        <f t="shared" si="27"/>
        <v>1.198</v>
      </c>
      <c r="AN120" s="76">
        <v>0</v>
      </c>
      <c r="AO120" s="45"/>
      <c r="AP120" s="46"/>
      <c r="AQ120" s="45">
        <v>0</v>
      </c>
      <c r="AR120" s="51" t="s">
        <v>767</v>
      </c>
      <c r="AS120" s="52" t="s">
        <v>768</v>
      </c>
      <c r="AT120" s="106">
        <v>3901109090</v>
      </c>
      <c r="AU120" s="95" t="s">
        <v>112</v>
      </c>
      <c r="AV120" s="95" t="s">
        <v>769</v>
      </c>
      <c r="AW120" s="95" t="s">
        <v>770</v>
      </c>
      <c r="AX120" s="52" t="s">
        <v>771</v>
      </c>
    </row>
    <row r="121" s="4" customFormat="1" ht="79" customHeight="1" spans="1:50">
      <c r="A121" s="40">
        <v>118</v>
      </c>
      <c r="B121" s="37">
        <v>46175</v>
      </c>
      <c r="C121" s="38" t="s">
        <v>774</v>
      </c>
      <c r="D121" s="39">
        <v>2640268</v>
      </c>
      <c r="E121" s="40" t="s">
        <v>649</v>
      </c>
      <c r="F121" s="55" t="s">
        <v>74</v>
      </c>
      <c r="G121" s="56"/>
      <c r="H121" s="79" t="s">
        <v>775</v>
      </c>
      <c r="I121" s="79" t="s">
        <v>76</v>
      </c>
      <c r="J121" s="51" t="s">
        <v>776</v>
      </c>
      <c r="K121" s="51"/>
      <c r="L121" s="51"/>
      <c r="M121" s="69">
        <v>11.99</v>
      </c>
      <c r="N121" s="45">
        <f t="shared" si="15"/>
        <v>2.58769203747073</v>
      </c>
      <c r="O121" s="46">
        <f t="shared" si="16"/>
        <v>22.09889</v>
      </c>
      <c r="P121" s="70">
        <f t="shared" si="17"/>
        <v>0.215820853834089</v>
      </c>
      <c r="Q121" s="45">
        <f t="shared" si="18"/>
        <v>2.79846487119438</v>
      </c>
      <c r="R121" s="46">
        <f t="shared" si="19"/>
        <v>23.89889</v>
      </c>
      <c r="S121" s="71">
        <f t="shared" si="20"/>
        <v>0.23339990585441</v>
      </c>
      <c r="T121" s="72" t="s">
        <v>61</v>
      </c>
      <c r="U121" s="72">
        <v>8.54</v>
      </c>
      <c r="V121" s="50">
        <v>0.2</v>
      </c>
      <c r="W121" s="50">
        <v>0.15</v>
      </c>
      <c r="X121" s="44">
        <v>8.5</v>
      </c>
      <c r="Y121" s="44">
        <v>7</v>
      </c>
      <c r="Z121" s="44">
        <v>6</v>
      </c>
      <c r="AA121" s="73">
        <f t="shared" si="28"/>
        <v>0.0595</v>
      </c>
      <c r="AB121" s="44">
        <v>0.06</v>
      </c>
      <c r="AC121" s="49">
        <v>45</v>
      </c>
      <c r="AD121" s="49">
        <v>15</v>
      </c>
      <c r="AE121" s="74">
        <v>16.65</v>
      </c>
      <c r="AF121" s="48">
        <f t="shared" si="21"/>
        <v>1.94964871194379</v>
      </c>
      <c r="AG121" s="75">
        <f t="shared" si="22"/>
        <v>2.7</v>
      </c>
      <c r="AH121" s="45">
        <f t="shared" si="23"/>
        <v>0.31615925058548</v>
      </c>
      <c r="AI121" s="45">
        <f t="shared" si="24"/>
        <v>0.9</v>
      </c>
      <c r="AJ121" s="45">
        <f t="shared" si="25"/>
        <v>0.105386416861827</v>
      </c>
      <c r="AK121" s="48">
        <f t="shared" si="26"/>
        <v>1.7985</v>
      </c>
      <c r="AL121" s="44">
        <v>2.94</v>
      </c>
      <c r="AM121" s="45">
        <f t="shared" si="27"/>
        <v>2.398</v>
      </c>
      <c r="AN121" s="76">
        <v>0</v>
      </c>
      <c r="AO121" s="45"/>
      <c r="AP121" s="46"/>
      <c r="AQ121" s="45">
        <v>0</v>
      </c>
      <c r="AR121" s="51" t="s">
        <v>777</v>
      </c>
      <c r="AS121" s="52" t="s">
        <v>778</v>
      </c>
      <c r="AT121" s="106">
        <v>6115990000</v>
      </c>
      <c r="AU121" s="95" t="s">
        <v>738</v>
      </c>
      <c r="AV121" s="95" t="s">
        <v>588</v>
      </c>
      <c r="AW121" s="95" t="s">
        <v>779</v>
      </c>
      <c r="AX121" s="52"/>
    </row>
    <row r="122" s="4" customFormat="1" ht="79" customHeight="1" spans="1:50">
      <c r="A122" s="40">
        <v>119</v>
      </c>
      <c r="B122" s="37">
        <v>46175</v>
      </c>
      <c r="C122" s="38" t="s">
        <v>780</v>
      </c>
      <c r="D122" s="39">
        <v>2640269</v>
      </c>
      <c r="E122" s="40" t="s">
        <v>649</v>
      </c>
      <c r="F122" s="55" t="s">
        <v>74</v>
      </c>
      <c r="G122" s="56"/>
      <c r="H122" s="79"/>
      <c r="I122" s="79" t="s">
        <v>336</v>
      </c>
      <c r="J122" s="51"/>
      <c r="K122" s="51"/>
      <c r="L122" s="51"/>
      <c r="M122" s="69"/>
      <c r="N122" s="45">
        <f t="shared" si="15"/>
        <v>-2.06996487119438</v>
      </c>
      <c r="O122" s="46">
        <f t="shared" si="16"/>
        <v>-17.6775</v>
      </c>
      <c r="P122" s="70" t="e">
        <f t="shared" si="17"/>
        <v>#DIV/0!</v>
      </c>
      <c r="Q122" s="45">
        <f t="shared" si="18"/>
        <v>-1.86094847775176</v>
      </c>
      <c r="R122" s="46">
        <f t="shared" si="19"/>
        <v>-15.8925</v>
      </c>
      <c r="S122" s="71" t="e">
        <f t="shared" si="20"/>
        <v>#DIV/0!</v>
      </c>
      <c r="T122" s="72" t="s">
        <v>61</v>
      </c>
      <c r="U122" s="72">
        <v>8.54</v>
      </c>
      <c r="V122" s="50">
        <v>0.2</v>
      </c>
      <c r="W122" s="50">
        <v>0.15</v>
      </c>
      <c r="X122" s="44">
        <v>8.5</v>
      </c>
      <c r="Y122" s="44">
        <v>7</v>
      </c>
      <c r="Z122" s="44">
        <v>6</v>
      </c>
      <c r="AA122" s="73">
        <f t="shared" si="28"/>
        <v>0.0595</v>
      </c>
      <c r="AB122" s="44">
        <v>0.028</v>
      </c>
      <c r="AC122" s="49">
        <v>45</v>
      </c>
      <c r="AD122" s="49">
        <v>15</v>
      </c>
      <c r="AE122" s="74">
        <v>15</v>
      </c>
      <c r="AF122" s="48">
        <f t="shared" si="21"/>
        <v>1.75644028103045</v>
      </c>
      <c r="AG122" s="75">
        <f t="shared" si="22"/>
        <v>2.6775</v>
      </c>
      <c r="AH122" s="45">
        <f t="shared" si="23"/>
        <v>0.313524590163934</v>
      </c>
      <c r="AI122" s="45">
        <f t="shared" si="24"/>
        <v>0.8925</v>
      </c>
      <c r="AJ122" s="45">
        <f t="shared" si="25"/>
        <v>0.104508196721311</v>
      </c>
      <c r="AK122" s="48">
        <f t="shared" si="26"/>
        <v>0</v>
      </c>
      <c r="AL122" s="44"/>
      <c r="AM122" s="45">
        <f t="shared" si="27"/>
        <v>0</v>
      </c>
      <c r="AN122" s="76">
        <v>0</v>
      </c>
      <c r="AO122" s="45"/>
      <c r="AP122" s="46"/>
      <c r="AQ122" s="45">
        <v>0</v>
      </c>
      <c r="AR122" s="51" t="s">
        <v>777</v>
      </c>
      <c r="AS122" s="52" t="s">
        <v>778</v>
      </c>
      <c r="AT122" s="106">
        <v>6115990000</v>
      </c>
      <c r="AU122" s="95" t="s">
        <v>738</v>
      </c>
      <c r="AV122" s="95" t="s">
        <v>588</v>
      </c>
      <c r="AW122" s="95" t="s">
        <v>779</v>
      </c>
      <c r="AX122" s="52" t="s">
        <v>781</v>
      </c>
    </row>
    <row r="123" s="4" customFormat="1" ht="79" customHeight="1" spans="1:50">
      <c r="A123" s="40">
        <v>120</v>
      </c>
      <c r="B123" s="37">
        <v>46175</v>
      </c>
      <c r="C123" s="38" t="s">
        <v>782</v>
      </c>
      <c r="D123" s="39">
        <v>2640270</v>
      </c>
      <c r="E123" s="40" t="s">
        <v>649</v>
      </c>
      <c r="F123" s="55" t="s">
        <v>74</v>
      </c>
      <c r="G123" s="56"/>
      <c r="H123" s="79"/>
      <c r="I123" s="79" t="s">
        <v>336</v>
      </c>
      <c r="J123" s="51"/>
      <c r="K123" s="51"/>
      <c r="L123" s="51"/>
      <c r="M123" s="69"/>
      <c r="N123" s="45">
        <f t="shared" si="15"/>
        <v>-0.506733021077283</v>
      </c>
      <c r="O123" s="46">
        <f t="shared" si="16"/>
        <v>-4.3275</v>
      </c>
      <c r="P123" s="70" t="e">
        <f t="shared" si="17"/>
        <v>#DIV/0!</v>
      </c>
      <c r="Q123" s="45">
        <f t="shared" si="18"/>
        <v>-0.29771662763466</v>
      </c>
      <c r="R123" s="46">
        <f t="shared" si="19"/>
        <v>-2.5425</v>
      </c>
      <c r="S123" s="71" t="e">
        <f t="shared" si="20"/>
        <v>#DIV/0!</v>
      </c>
      <c r="T123" s="72" t="s">
        <v>61</v>
      </c>
      <c r="U123" s="72">
        <v>8.54</v>
      </c>
      <c r="V123" s="50">
        <v>0.2</v>
      </c>
      <c r="W123" s="50">
        <v>0.15</v>
      </c>
      <c r="X123" s="44">
        <v>8.5</v>
      </c>
      <c r="Y123" s="44">
        <v>7</v>
      </c>
      <c r="Z123" s="44">
        <v>6</v>
      </c>
      <c r="AA123" s="73">
        <f t="shared" si="28"/>
        <v>0.0595</v>
      </c>
      <c r="AB123" s="44">
        <v>0.02</v>
      </c>
      <c r="AC123" s="49">
        <v>45</v>
      </c>
      <c r="AD123" s="49">
        <v>15</v>
      </c>
      <c r="AE123" s="74">
        <v>1.65</v>
      </c>
      <c r="AF123" s="48">
        <f t="shared" si="21"/>
        <v>0.193208430913349</v>
      </c>
      <c r="AG123" s="75">
        <f t="shared" si="22"/>
        <v>2.6775</v>
      </c>
      <c r="AH123" s="45">
        <f t="shared" si="23"/>
        <v>0.313524590163934</v>
      </c>
      <c r="AI123" s="45">
        <f t="shared" si="24"/>
        <v>0.8925</v>
      </c>
      <c r="AJ123" s="45">
        <f t="shared" si="25"/>
        <v>0.104508196721311</v>
      </c>
      <c r="AK123" s="48">
        <f t="shared" si="26"/>
        <v>0</v>
      </c>
      <c r="AL123" s="44"/>
      <c r="AM123" s="45">
        <f t="shared" si="27"/>
        <v>0</v>
      </c>
      <c r="AN123" s="76">
        <v>0</v>
      </c>
      <c r="AO123" s="45"/>
      <c r="AP123" s="46"/>
      <c r="AQ123" s="45">
        <v>0</v>
      </c>
      <c r="AR123" s="51" t="s">
        <v>783</v>
      </c>
      <c r="AS123" s="52" t="s">
        <v>784</v>
      </c>
      <c r="AT123" s="106">
        <v>7318159589</v>
      </c>
      <c r="AU123" s="95" t="s">
        <v>162</v>
      </c>
      <c r="AV123" s="95" t="s">
        <v>384</v>
      </c>
      <c r="AW123" s="95" t="s">
        <v>385</v>
      </c>
      <c r="AX123" s="52"/>
    </row>
    <row r="124" customFormat="1" ht="79" customHeight="1" spans="1:50">
      <c r="A124" s="40">
        <v>121</v>
      </c>
      <c r="B124" s="37">
        <v>46175</v>
      </c>
      <c r="C124" s="107" t="s">
        <v>785</v>
      </c>
      <c r="D124" s="108">
        <v>2660100</v>
      </c>
      <c r="E124" s="109" t="s">
        <v>786</v>
      </c>
      <c r="F124" s="55" t="s">
        <v>69</v>
      </c>
      <c r="G124" s="110"/>
      <c r="H124" s="79" t="s">
        <v>787</v>
      </c>
      <c r="I124" s="109"/>
      <c r="J124" s="111" t="s">
        <v>788</v>
      </c>
      <c r="K124" s="112"/>
      <c r="L124" s="112"/>
      <c r="M124" s="113">
        <v>6.99</v>
      </c>
      <c r="N124" s="114">
        <f t="shared" si="15"/>
        <v>1.60155620608899</v>
      </c>
      <c r="O124" s="115">
        <f t="shared" si="16"/>
        <v>13.67729</v>
      </c>
      <c r="P124" s="116">
        <f t="shared" si="17"/>
        <v>0.229121059526322</v>
      </c>
      <c r="Q124" s="114">
        <f t="shared" si="18"/>
        <v>2.12848829039813</v>
      </c>
      <c r="R124" s="115">
        <f t="shared" si="19"/>
        <v>18.17729</v>
      </c>
      <c r="S124" s="117">
        <f t="shared" si="20"/>
        <v>0.304504762574839</v>
      </c>
      <c r="T124" s="118" t="s">
        <v>61</v>
      </c>
      <c r="U124" s="119">
        <v>8.54</v>
      </c>
      <c r="V124" s="120">
        <v>0.2</v>
      </c>
      <c r="W124" s="120">
        <v>0.15</v>
      </c>
      <c r="X124" s="113">
        <v>31</v>
      </c>
      <c r="Y124" s="113">
        <v>21</v>
      </c>
      <c r="Z124" s="113">
        <v>0.2</v>
      </c>
      <c r="AA124" s="121">
        <f t="shared" si="28"/>
        <v>0.0217</v>
      </c>
      <c r="AB124" s="113">
        <v>0.15</v>
      </c>
      <c r="AC124" s="122">
        <v>45</v>
      </c>
      <c r="AD124" s="122">
        <v>15</v>
      </c>
      <c r="AE124" s="113">
        <v>3.6</v>
      </c>
      <c r="AF124" s="123">
        <f t="shared" si="21"/>
        <v>0.421545667447307</v>
      </c>
      <c r="AG124" s="124">
        <f t="shared" si="22"/>
        <v>6.75</v>
      </c>
      <c r="AH124" s="114">
        <f t="shared" si="23"/>
        <v>0.7903981264637</v>
      </c>
      <c r="AI124" s="114">
        <f t="shared" si="24"/>
        <v>2.25</v>
      </c>
      <c r="AJ124" s="114">
        <f t="shared" si="25"/>
        <v>0.263466042154567</v>
      </c>
      <c r="AK124" s="123">
        <f t="shared" si="26"/>
        <v>1.0485</v>
      </c>
      <c r="AL124" s="113">
        <v>1.73</v>
      </c>
      <c r="AM124" s="114">
        <f t="shared" si="27"/>
        <v>1.398</v>
      </c>
      <c r="AN124" s="125">
        <v>0</v>
      </c>
      <c r="AO124" s="125"/>
      <c r="AP124" s="126"/>
      <c r="AQ124" s="125">
        <v>0</v>
      </c>
      <c r="AR124" s="127" t="s">
        <v>789</v>
      </c>
      <c r="AS124" s="53" t="s">
        <v>790</v>
      </c>
      <c r="AT124" s="122">
        <v>8306290000</v>
      </c>
      <c r="AU124" s="109" t="s">
        <v>162</v>
      </c>
      <c r="AV124" s="128" t="s">
        <v>791</v>
      </c>
      <c r="AW124" s="109" t="s">
        <v>792</v>
      </c>
      <c r="AX124" s="128"/>
    </row>
    <row r="125" customFormat="1" ht="79" customHeight="1" spans="1:50">
      <c r="A125" s="40">
        <v>122</v>
      </c>
      <c r="B125" s="37">
        <v>46175</v>
      </c>
      <c r="C125" s="107" t="s">
        <v>793</v>
      </c>
      <c r="D125" s="108">
        <v>2660101</v>
      </c>
      <c r="E125" s="109" t="s">
        <v>786</v>
      </c>
      <c r="F125" s="108" t="s">
        <v>74</v>
      </c>
      <c r="G125" s="110"/>
      <c r="H125" s="79" t="s">
        <v>794</v>
      </c>
      <c r="I125" s="109" t="s">
        <v>795</v>
      </c>
      <c r="J125" s="111" t="s">
        <v>796</v>
      </c>
      <c r="K125" s="111" t="s">
        <v>797</v>
      </c>
      <c r="L125" s="111" t="s">
        <v>798</v>
      </c>
      <c r="M125" s="113">
        <v>6.99</v>
      </c>
      <c r="N125" s="114">
        <f t="shared" si="15"/>
        <v>1.74070140515222</v>
      </c>
      <c r="O125" s="115">
        <f t="shared" si="16"/>
        <v>14.86559</v>
      </c>
      <c r="P125" s="116">
        <f t="shared" si="17"/>
        <v>0.249027382711334</v>
      </c>
      <c r="Q125" s="114">
        <f t="shared" si="18"/>
        <v>1.83964754098361</v>
      </c>
      <c r="R125" s="115">
        <f t="shared" si="19"/>
        <v>15.71059</v>
      </c>
      <c r="S125" s="117">
        <f t="shared" si="20"/>
        <v>0.263182766950444</v>
      </c>
      <c r="T125" s="118" t="s">
        <v>61</v>
      </c>
      <c r="U125" s="119">
        <v>8.54</v>
      </c>
      <c r="V125" s="120">
        <v>0.2</v>
      </c>
      <c r="W125" s="120">
        <v>0.15</v>
      </c>
      <c r="X125" s="113">
        <v>13</v>
      </c>
      <c r="Y125" s="113">
        <v>13</v>
      </c>
      <c r="Z125" s="113">
        <v>1</v>
      </c>
      <c r="AA125" s="121">
        <f t="shared" si="28"/>
        <v>0.0281666666666667</v>
      </c>
      <c r="AB125" s="113">
        <v>0.02</v>
      </c>
      <c r="AC125" s="122">
        <v>45</v>
      </c>
      <c r="AD125" s="122">
        <v>15</v>
      </c>
      <c r="AE125" s="113">
        <v>10.2</v>
      </c>
      <c r="AF125" s="123">
        <f t="shared" si="21"/>
        <v>1.1943793911007</v>
      </c>
      <c r="AG125" s="124">
        <f t="shared" si="22"/>
        <v>1.2675</v>
      </c>
      <c r="AH125" s="114">
        <f t="shared" si="23"/>
        <v>0.148419203747073</v>
      </c>
      <c r="AI125" s="114">
        <f t="shared" si="24"/>
        <v>0.422500000000001</v>
      </c>
      <c r="AJ125" s="114">
        <f t="shared" si="25"/>
        <v>0.0494730679156909</v>
      </c>
      <c r="AK125" s="123">
        <f t="shared" si="26"/>
        <v>1.0485</v>
      </c>
      <c r="AL125" s="113">
        <v>1.46</v>
      </c>
      <c r="AM125" s="114">
        <f t="shared" si="27"/>
        <v>1.398</v>
      </c>
      <c r="AN125" s="125">
        <v>0</v>
      </c>
      <c r="AO125" s="125"/>
      <c r="AP125" s="126"/>
      <c r="AQ125" s="125">
        <v>0</v>
      </c>
      <c r="AR125" s="127" t="s">
        <v>799</v>
      </c>
      <c r="AS125" s="53" t="s">
        <v>800</v>
      </c>
      <c r="AT125" s="53">
        <v>6304939000</v>
      </c>
      <c r="AU125" s="109" t="s">
        <v>731</v>
      </c>
      <c r="AV125" s="109" t="s">
        <v>801</v>
      </c>
      <c r="AW125" s="53" t="s">
        <v>802</v>
      </c>
      <c r="AX125" s="128"/>
    </row>
    <row r="126" customFormat="1" ht="79" customHeight="1" spans="1:50">
      <c r="A126" s="40">
        <v>123</v>
      </c>
      <c r="B126" s="37">
        <v>46175</v>
      </c>
      <c r="C126" s="107" t="s">
        <v>803</v>
      </c>
      <c r="D126" s="108">
        <v>2660102</v>
      </c>
      <c r="E126" s="109" t="s">
        <v>786</v>
      </c>
      <c r="F126" s="55" t="s">
        <v>205</v>
      </c>
      <c r="G126" s="110"/>
      <c r="H126" s="79" t="s">
        <v>804</v>
      </c>
      <c r="I126" s="109" t="s">
        <v>76</v>
      </c>
      <c r="J126" s="111" t="s">
        <v>805</v>
      </c>
      <c r="K126" s="111" t="s">
        <v>806</v>
      </c>
      <c r="L126" s="112"/>
      <c r="M126" s="113">
        <v>5.99</v>
      </c>
      <c r="N126" s="114">
        <f t="shared" si="15"/>
        <v>1.52717681498829</v>
      </c>
      <c r="O126" s="115">
        <f t="shared" si="16"/>
        <v>13.04209</v>
      </c>
      <c r="P126" s="116">
        <f t="shared" si="17"/>
        <v>0.254954393153304</v>
      </c>
      <c r="Q126" s="114">
        <f t="shared" si="18"/>
        <v>1.62085362997658</v>
      </c>
      <c r="R126" s="115">
        <f t="shared" si="19"/>
        <v>13.84209</v>
      </c>
      <c r="S126" s="117">
        <f t="shared" si="20"/>
        <v>0.270593260430147</v>
      </c>
      <c r="T126" s="118" t="s">
        <v>61</v>
      </c>
      <c r="U126" s="119">
        <v>8.54</v>
      </c>
      <c r="V126" s="120">
        <v>0.2</v>
      </c>
      <c r="W126" s="120">
        <v>0.15</v>
      </c>
      <c r="X126" s="113">
        <v>10</v>
      </c>
      <c r="Y126" s="113">
        <v>8</v>
      </c>
      <c r="Z126" s="113">
        <v>2</v>
      </c>
      <c r="AA126" s="121">
        <f t="shared" si="28"/>
        <v>0.0266666666666667</v>
      </c>
      <c r="AB126" s="113">
        <v>0.02</v>
      </c>
      <c r="AC126" s="122">
        <v>45</v>
      </c>
      <c r="AD126" s="122">
        <v>15</v>
      </c>
      <c r="AE126" s="113">
        <v>6.54</v>
      </c>
      <c r="AF126" s="123">
        <f t="shared" si="21"/>
        <v>0.765807962529274</v>
      </c>
      <c r="AG126" s="124">
        <f t="shared" si="22"/>
        <v>1.2</v>
      </c>
      <c r="AH126" s="114">
        <f t="shared" si="23"/>
        <v>0.140515222482436</v>
      </c>
      <c r="AI126" s="114">
        <f t="shared" si="24"/>
        <v>0.4</v>
      </c>
      <c r="AJ126" s="114">
        <f t="shared" si="25"/>
        <v>0.0468384074941453</v>
      </c>
      <c r="AK126" s="123">
        <f t="shared" si="26"/>
        <v>0.8985</v>
      </c>
      <c r="AL126" s="113">
        <v>1.46</v>
      </c>
      <c r="AM126" s="114">
        <f t="shared" si="27"/>
        <v>1.198</v>
      </c>
      <c r="AN126" s="125">
        <v>0</v>
      </c>
      <c r="AO126" s="125"/>
      <c r="AP126" s="126"/>
      <c r="AQ126" s="125">
        <v>0</v>
      </c>
      <c r="AR126" s="127" t="s">
        <v>807</v>
      </c>
      <c r="AS126" s="53" t="s">
        <v>808</v>
      </c>
      <c r="AT126" s="122">
        <v>7117900000</v>
      </c>
      <c r="AU126" s="109" t="s">
        <v>112</v>
      </c>
      <c r="AV126" s="109" t="s">
        <v>547</v>
      </c>
      <c r="AW126" s="53" t="s">
        <v>548</v>
      </c>
      <c r="AX126" s="128"/>
    </row>
    <row r="127" customFormat="1" ht="79" customHeight="1" spans="1:50">
      <c r="A127" s="40">
        <v>124</v>
      </c>
      <c r="B127" s="37">
        <v>46175</v>
      </c>
      <c r="C127" s="107" t="s">
        <v>809</v>
      </c>
      <c r="D127" s="108">
        <v>2660103</v>
      </c>
      <c r="E127" s="109" t="s">
        <v>786</v>
      </c>
      <c r="F127" s="55" t="s">
        <v>205</v>
      </c>
      <c r="G127" s="110"/>
      <c r="H127" s="109"/>
      <c r="I127" s="109" t="s">
        <v>336</v>
      </c>
      <c r="J127" s="111"/>
      <c r="K127" s="129"/>
      <c r="L127" s="112"/>
      <c r="M127" s="113"/>
      <c r="N127" s="114">
        <v>1.73</v>
      </c>
      <c r="O127" s="115">
        <v>15</v>
      </c>
      <c r="P127" s="116">
        <v>0.29</v>
      </c>
      <c r="Q127" s="114">
        <v>1.83</v>
      </c>
      <c r="R127" s="115">
        <v>16</v>
      </c>
      <c r="S127" s="117">
        <v>0.3</v>
      </c>
      <c r="T127" s="118" t="s">
        <v>61</v>
      </c>
      <c r="U127" s="119">
        <v>8.54</v>
      </c>
      <c r="V127" s="120">
        <v>0.2</v>
      </c>
      <c r="W127" s="120">
        <v>0.15</v>
      </c>
      <c r="X127" s="113"/>
      <c r="Y127" s="113"/>
      <c r="Z127" s="113"/>
      <c r="AA127" s="121">
        <v>0.03</v>
      </c>
      <c r="AB127" s="113">
        <v>0.01</v>
      </c>
      <c r="AC127" s="122">
        <v>45</v>
      </c>
      <c r="AD127" s="122">
        <v>15</v>
      </c>
      <c r="AE127" s="113">
        <v>2.39</v>
      </c>
      <c r="AF127" s="123">
        <v>0.6</v>
      </c>
      <c r="AG127" s="124">
        <v>1.2</v>
      </c>
      <c r="AH127" s="114">
        <v>0.14</v>
      </c>
      <c r="AI127" s="114">
        <v>0.4</v>
      </c>
      <c r="AJ127" s="114">
        <v>0.05</v>
      </c>
      <c r="AK127" s="123">
        <v>0.9</v>
      </c>
      <c r="AL127" s="113"/>
      <c r="AM127" s="114">
        <v>1.2</v>
      </c>
      <c r="AN127" s="125">
        <v>0</v>
      </c>
      <c r="AO127" s="125"/>
      <c r="AP127" s="126"/>
      <c r="AQ127" s="125">
        <v>0</v>
      </c>
      <c r="AR127" s="127" t="s">
        <v>807</v>
      </c>
      <c r="AS127" s="53" t="s">
        <v>808</v>
      </c>
      <c r="AT127" s="122">
        <v>7117900000</v>
      </c>
      <c r="AU127" s="128" t="s">
        <v>112</v>
      </c>
      <c r="AV127" s="128" t="s">
        <v>547</v>
      </c>
      <c r="AW127" s="128" t="s">
        <v>548</v>
      </c>
      <c r="AX127" s="128"/>
    </row>
    <row r="128" customFormat="1" ht="79" customHeight="1" spans="1:50">
      <c r="A128" s="40">
        <v>125</v>
      </c>
      <c r="B128" s="37">
        <v>46175</v>
      </c>
      <c r="C128" s="107" t="s">
        <v>810</v>
      </c>
      <c r="D128" s="108">
        <v>2660104</v>
      </c>
      <c r="E128" s="109" t="s">
        <v>786</v>
      </c>
      <c r="F128" s="55" t="s">
        <v>205</v>
      </c>
      <c r="G128" s="110"/>
      <c r="H128" s="109"/>
      <c r="I128" s="109" t="s">
        <v>336</v>
      </c>
      <c r="J128" s="111"/>
      <c r="K128" s="112"/>
      <c r="L128" s="112"/>
      <c r="M128" s="113"/>
      <c r="N128" s="114">
        <v>1.73</v>
      </c>
      <c r="O128" s="115">
        <v>15</v>
      </c>
      <c r="P128" s="116">
        <v>0.29</v>
      </c>
      <c r="Q128" s="114">
        <v>1.83</v>
      </c>
      <c r="R128" s="115">
        <v>16</v>
      </c>
      <c r="S128" s="117">
        <v>0.3</v>
      </c>
      <c r="T128" s="118" t="s">
        <v>61</v>
      </c>
      <c r="U128" s="119">
        <v>8.54</v>
      </c>
      <c r="V128" s="120">
        <v>0.2</v>
      </c>
      <c r="W128" s="120">
        <v>0.15</v>
      </c>
      <c r="X128" s="113"/>
      <c r="Y128" s="113"/>
      <c r="Z128" s="113"/>
      <c r="AA128" s="121">
        <v>0.03</v>
      </c>
      <c r="AB128" s="113">
        <v>0.01</v>
      </c>
      <c r="AC128" s="122">
        <v>45</v>
      </c>
      <c r="AD128" s="122">
        <v>15</v>
      </c>
      <c r="AE128" s="113">
        <v>4.15</v>
      </c>
      <c r="AF128" s="123">
        <v>0.6</v>
      </c>
      <c r="AG128" s="124">
        <v>1.2</v>
      </c>
      <c r="AH128" s="114">
        <v>0.14</v>
      </c>
      <c r="AI128" s="114">
        <v>0.4</v>
      </c>
      <c r="AJ128" s="114">
        <v>0.05</v>
      </c>
      <c r="AK128" s="123">
        <v>0.9</v>
      </c>
      <c r="AL128" s="113"/>
      <c r="AM128" s="114">
        <v>1.2</v>
      </c>
      <c r="AN128" s="125">
        <v>0</v>
      </c>
      <c r="AO128" s="125"/>
      <c r="AP128" s="126"/>
      <c r="AQ128" s="125">
        <v>0</v>
      </c>
      <c r="AR128" s="127" t="s">
        <v>811</v>
      </c>
      <c r="AS128" s="53" t="s">
        <v>812</v>
      </c>
      <c r="AT128" s="122">
        <v>7117900000</v>
      </c>
      <c r="AU128" s="128" t="s">
        <v>112</v>
      </c>
      <c r="AV128" s="109" t="s">
        <v>83</v>
      </c>
      <c r="AW128" s="109" t="s">
        <v>813</v>
      </c>
      <c r="AX128" s="128"/>
    </row>
    <row r="129" customFormat="1" ht="79" customHeight="1" spans="1:50">
      <c r="A129" s="40">
        <v>126</v>
      </c>
      <c r="B129" s="37">
        <v>46175</v>
      </c>
      <c r="C129" s="107" t="s">
        <v>814</v>
      </c>
      <c r="D129" s="108">
        <v>2660106</v>
      </c>
      <c r="E129" s="109" t="s">
        <v>786</v>
      </c>
      <c r="F129" s="108" t="s">
        <v>74</v>
      </c>
      <c r="G129" s="110"/>
      <c r="H129" s="79" t="s">
        <v>331</v>
      </c>
      <c r="I129" s="109" t="s">
        <v>815</v>
      </c>
      <c r="J129" s="111" t="s">
        <v>816</v>
      </c>
      <c r="K129" s="111" t="s">
        <v>817</v>
      </c>
      <c r="L129" s="129" t="s">
        <v>818</v>
      </c>
      <c r="M129" s="113">
        <v>6.99</v>
      </c>
      <c r="N129" s="114">
        <f>M129-SUM(AF129+AH129+AK129+AL129+AM129+AN129+AQ129)</f>
        <v>1.43801990632319</v>
      </c>
      <c r="O129" s="115">
        <f>N129*U129</f>
        <v>12.28069</v>
      </c>
      <c r="P129" s="116">
        <f>N129/M129</f>
        <v>0.205725308486865</v>
      </c>
      <c r="Q129" s="114">
        <f>M129-SUM(AF129+AJ129+AK129+AL129+AM129+AN129+AO129+AP129+AQ129)</f>
        <v>1.69094730679157</v>
      </c>
      <c r="R129" s="115">
        <f>Q129*U129</f>
        <v>14.44069</v>
      </c>
      <c r="S129" s="117">
        <f>Q129/M129</f>
        <v>0.241909485950153</v>
      </c>
      <c r="T129" s="118" t="s">
        <v>61</v>
      </c>
      <c r="U129" s="119">
        <v>8.54</v>
      </c>
      <c r="V129" s="120">
        <v>0.2</v>
      </c>
      <c r="W129" s="120">
        <v>0.15</v>
      </c>
      <c r="X129" s="113">
        <v>18</v>
      </c>
      <c r="Y129" s="113">
        <v>12</v>
      </c>
      <c r="Z129" s="113">
        <v>2</v>
      </c>
      <c r="AA129" s="121">
        <f>(X129*Y129*Z129)/6000</f>
        <v>0.072</v>
      </c>
      <c r="AB129" s="113">
        <v>0.06</v>
      </c>
      <c r="AC129" s="122">
        <v>45</v>
      </c>
      <c r="AD129" s="122">
        <v>15</v>
      </c>
      <c r="AE129" s="113">
        <v>10.3</v>
      </c>
      <c r="AF129" s="123">
        <f>AE129/U129</f>
        <v>1.20608899297424</v>
      </c>
      <c r="AG129" s="124">
        <f>AC129*MAX(AA129:AB129)</f>
        <v>3.24</v>
      </c>
      <c r="AH129" s="114">
        <f>AG129/U129</f>
        <v>0.379391100702576</v>
      </c>
      <c r="AI129" s="114">
        <f>AD129*MAX(AA129:AB129)</f>
        <v>1.08</v>
      </c>
      <c r="AJ129" s="114">
        <f>AI129/U129</f>
        <v>0.126463700234192</v>
      </c>
      <c r="AK129" s="123">
        <f>M129*W129</f>
        <v>1.0485</v>
      </c>
      <c r="AL129" s="113">
        <v>1.52</v>
      </c>
      <c r="AM129" s="114">
        <f>M129*V129</f>
        <v>1.398</v>
      </c>
      <c r="AN129" s="125">
        <v>0</v>
      </c>
      <c r="AO129" s="125"/>
      <c r="AP129" s="126"/>
      <c r="AQ129" s="125">
        <v>0</v>
      </c>
      <c r="AR129" s="127" t="s">
        <v>819</v>
      </c>
      <c r="AS129" s="53" t="s">
        <v>820</v>
      </c>
      <c r="AT129" s="122">
        <v>3926909700</v>
      </c>
      <c r="AU129" s="109" t="s">
        <v>112</v>
      </c>
      <c r="AV129" s="109" t="s">
        <v>821</v>
      </c>
      <c r="AW129" s="53" t="s">
        <v>822</v>
      </c>
      <c r="AX129" s="128"/>
    </row>
    <row r="130" customFormat="1" ht="79" customHeight="1" spans="1:50">
      <c r="A130" s="40">
        <v>127</v>
      </c>
      <c r="B130" s="37">
        <v>46175</v>
      </c>
      <c r="C130" s="107" t="s">
        <v>823</v>
      </c>
      <c r="D130" s="108">
        <v>2660107</v>
      </c>
      <c r="E130" s="109" t="s">
        <v>786</v>
      </c>
      <c r="F130" s="55" t="s">
        <v>69</v>
      </c>
      <c r="G130" s="110"/>
      <c r="H130" s="79" t="s">
        <v>824</v>
      </c>
      <c r="I130" s="109" t="s">
        <v>76</v>
      </c>
      <c r="J130" s="111" t="s">
        <v>825</v>
      </c>
      <c r="K130" s="111" t="s">
        <v>826</v>
      </c>
      <c r="L130" s="112"/>
      <c r="M130" s="113">
        <v>5.99</v>
      </c>
      <c r="N130" s="114">
        <f>M130-SUM(AF130+AH130+AK130+AL130+AM130+AN130+AQ130)</f>
        <v>1.33251639344262</v>
      </c>
      <c r="O130" s="115">
        <f>N130*U130</f>
        <v>11.37969</v>
      </c>
      <c r="P130" s="116">
        <f>N130/M130</f>
        <v>0.222456826952024</v>
      </c>
      <c r="Q130" s="114">
        <f>M130-SUM(AF130+AJ130+AK130+AL130+AM130+AN130+AO130+AP130+AQ130)</f>
        <v>1.50816042154567</v>
      </c>
      <c r="R130" s="115">
        <f>Q130*U130</f>
        <v>12.87969</v>
      </c>
      <c r="S130" s="117">
        <f>Q130/M130</f>
        <v>0.251779703096105</v>
      </c>
      <c r="T130" s="118" t="s">
        <v>61</v>
      </c>
      <c r="U130" s="119">
        <v>8.54</v>
      </c>
      <c r="V130" s="120">
        <v>0.2</v>
      </c>
      <c r="W130" s="120">
        <v>0.15</v>
      </c>
      <c r="X130" s="113">
        <v>12</v>
      </c>
      <c r="Y130" s="113">
        <v>8</v>
      </c>
      <c r="Z130" s="113">
        <v>1.5</v>
      </c>
      <c r="AA130" s="121">
        <f>(X130*Y130*Z130)/6000</f>
        <v>0.024</v>
      </c>
      <c r="AB130" s="113">
        <v>0.05</v>
      </c>
      <c r="AC130" s="122">
        <v>45</v>
      </c>
      <c r="AD130" s="122">
        <v>15</v>
      </c>
      <c r="AE130" s="113">
        <v>6.64</v>
      </c>
      <c r="AF130" s="123">
        <f>AE130/U130</f>
        <v>0.77751756440281</v>
      </c>
      <c r="AG130" s="124">
        <f>AC130*MAX(AA130:AB130)</f>
        <v>2.25</v>
      </c>
      <c r="AH130" s="114">
        <f>AG130/U130</f>
        <v>0.263466042154567</v>
      </c>
      <c r="AI130" s="114">
        <f>AD130*MAX(AA130:AB130)</f>
        <v>0.75</v>
      </c>
      <c r="AJ130" s="114">
        <f>AI130/U130</f>
        <v>0.0878220140515223</v>
      </c>
      <c r="AK130" s="123">
        <f>M130*W130</f>
        <v>0.8985</v>
      </c>
      <c r="AL130" s="113">
        <v>1.52</v>
      </c>
      <c r="AM130" s="114">
        <f>M130*V130</f>
        <v>1.198</v>
      </c>
      <c r="AN130" s="125">
        <v>0</v>
      </c>
      <c r="AO130" s="125"/>
      <c r="AP130" s="126"/>
      <c r="AQ130" s="125">
        <v>0</v>
      </c>
      <c r="AR130" s="127" t="s">
        <v>827</v>
      </c>
      <c r="AS130" s="53" t="s">
        <v>828</v>
      </c>
      <c r="AT130" s="122">
        <v>3919900000</v>
      </c>
      <c r="AU130" s="109" t="s">
        <v>112</v>
      </c>
      <c r="AV130" s="109" t="s">
        <v>416</v>
      </c>
      <c r="AW130" t="s">
        <v>417</v>
      </c>
      <c r="AX130" s="128"/>
    </row>
    <row r="131" customFormat="1" ht="79" customHeight="1" spans="1:50">
      <c r="A131" s="40">
        <v>128</v>
      </c>
      <c r="B131" s="37">
        <v>46175</v>
      </c>
      <c r="C131" s="107" t="s">
        <v>829</v>
      </c>
      <c r="D131" s="108">
        <v>2660108</v>
      </c>
      <c r="E131" s="109" t="s">
        <v>786</v>
      </c>
      <c r="F131" s="55" t="s">
        <v>69</v>
      </c>
      <c r="G131" s="110"/>
      <c r="H131" s="79"/>
      <c r="I131" s="109" t="s">
        <v>336</v>
      </c>
      <c r="J131" s="111"/>
      <c r="K131" s="112"/>
      <c r="L131" s="112"/>
      <c r="M131" s="113"/>
      <c r="N131" s="114">
        <f>M131-SUM(AF131+AH131+AK131+AL131+AM131+AN131+AQ131)</f>
        <v>-0.388758782201405</v>
      </c>
      <c r="O131" s="115">
        <f>N131*U131</f>
        <v>-3.32</v>
      </c>
      <c r="P131" s="116" t="e">
        <f>N131/M131</f>
        <v>#DIV/0!</v>
      </c>
      <c r="Q131" s="114">
        <f>M131-SUM(AF131+AJ131+AK131+AL131+AM131+AN131+AO131+AP131+AQ131)</f>
        <v>-0.388758782201405</v>
      </c>
      <c r="R131" s="115">
        <f>Q131*U131</f>
        <v>-3.32</v>
      </c>
      <c r="S131" s="117" t="e">
        <f>Q131/M131</f>
        <v>#DIV/0!</v>
      </c>
      <c r="T131" s="118" t="s">
        <v>61</v>
      </c>
      <c r="U131" s="119">
        <v>8.54</v>
      </c>
      <c r="V131" s="120">
        <v>0.2</v>
      </c>
      <c r="W131" s="120">
        <v>0.15</v>
      </c>
      <c r="X131" s="113"/>
      <c r="Y131" s="113"/>
      <c r="Z131" s="113"/>
      <c r="AA131" s="121">
        <f>(X131*Y131*Z131)/6000</f>
        <v>0</v>
      </c>
      <c r="AB131" s="113"/>
      <c r="AC131" s="122">
        <v>45</v>
      </c>
      <c r="AD131" s="122">
        <v>15</v>
      </c>
      <c r="AE131" s="113">
        <v>3.32</v>
      </c>
      <c r="AF131" s="123">
        <f>AE131/U131</f>
        <v>0.388758782201405</v>
      </c>
      <c r="AG131" s="124">
        <f>AC131*MAX(AA131:AB131)</f>
        <v>0</v>
      </c>
      <c r="AH131" s="114">
        <f>AG131/U131</f>
        <v>0</v>
      </c>
      <c r="AI131" s="114">
        <f>AD131*MAX(AA131:AB131)</f>
        <v>0</v>
      </c>
      <c r="AJ131" s="114">
        <f>AI131/U131</f>
        <v>0</v>
      </c>
      <c r="AK131" s="123">
        <f>M131*W131</f>
        <v>0</v>
      </c>
      <c r="AL131" s="113"/>
      <c r="AM131" s="114">
        <f>M131*V131</f>
        <v>0</v>
      </c>
      <c r="AN131" s="125">
        <v>0</v>
      </c>
      <c r="AO131" s="125"/>
      <c r="AP131" s="126"/>
      <c r="AQ131" s="125">
        <v>0</v>
      </c>
      <c r="AR131" s="127" t="s">
        <v>827</v>
      </c>
      <c r="AS131" s="53" t="s">
        <v>828</v>
      </c>
      <c r="AT131" s="122">
        <v>3919900000</v>
      </c>
      <c r="AU131" s="109" t="s">
        <v>112</v>
      </c>
      <c r="AV131" s="109" t="s">
        <v>416</v>
      </c>
      <c r="AW131" t="s">
        <v>417</v>
      </c>
      <c r="AX131" s="128"/>
    </row>
    <row r="132" customFormat="1" ht="79" customHeight="1" spans="1:50">
      <c r="A132" s="40">
        <v>129</v>
      </c>
      <c r="B132" s="37">
        <v>46175</v>
      </c>
      <c r="C132" s="107" t="s">
        <v>830</v>
      </c>
      <c r="D132" s="108">
        <v>2660109</v>
      </c>
      <c r="E132" s="109" t="s">
        <v>786</v>
      </c>
      <c r="F132" s="55" t="s">
        <v>69</v>
      </c>
      <c r="G132" s="110"/>
      <c r="H132" s="79"/>
      <c r="I132" s="109" t="s">
        <v>336</v>
      </c>
      <c r="J132" s="111"/>
      <c r="K132" s="112"/>
      <c r="L132" s="112"/>
      <c r="M132" s="113"/>
      <c r="N132" s="114">
        <f>M132-SUM(AF132+AH132+AK132+AL132+AM132+AN132+AQ132)</f>
        <v>-0.388758782201405</v>
      </c>
      <c r="O132" s="115">
        <f>N132*U132</f>
        <v>-3.32</v>
      </c>
      <c r="P132" s="116" t="e">
        <f>N132/M132</f>
        <v>#DIV/0!</v>
      </c>
      <c r="Q132" s="114">
        <f>M132-SUM(AF132+AJ132+AK132+AL132+AM132+AN132+AO132+AP132+AQ132)</f>
        <v>-0.388758782201405</v>
      </c>
      <c r="R132" s="115">
        <f>Q132*U132</f>
        <v>-3.32</v>
      </c>
      <c r="S132" s="117" t="e">
        <f>Q132/M132</f>
        <v>#DIV/0!</v>
      </c>
      <c r="T132" s="118" t="s">
        <v>61</v>
      </c>
      <c r="U132" s="119">
        <v>8.54</v>
      </c>
      <c r="V132" s="120">
        <v>0.2</v>
      </c>
      <c r="W132" s="120">
        <v>0.15</v>
      </c>
      <c r="X132" s="113"/>
      <c r="Y132" s="113"/>
      <c r="Z132" s="113"/>
      <c r="AA132" s="121">
        <f>(X132*Y132*Z132)/6000</f>
        <v>0</v>
      </c>
      <c r="AB132" s="113"/>
      <c r="AC132" s="122">
        <v>45</v>
      </c>
      <c r="AD132" s="122">
        <v>15</v>
      </c>
      <c r="AE132" s="113">
        <v>3.32</v>
      </c>
      <c r="AF132" s="123">
        <f>AE132/U132</f>
        <v>0.388758782201405</v>
      </c>
      <c r="AG132" s="124">
        <f>AC132*MAX(AA132:AB132)</f>
        <v>0</v>
      </c>
      <c r="AH132" s="114">
        <f>AG132/U132</f>
        <v>0</v>
      </c>
      <c r="AI132" s="114">
        <f>AD132*MAX(AA132:AB132)</f>
        <v>0</v>
      </c>
      <c r="AJ132" s="114">
        <f>AI132/U132</f>
        <v>0</v>
      </c>
      <c r="AK132" s="123">
        <f>M132*W132</f>
        <v>0</v>
      </c>
      <c r="AL132" s="113"/>
      <c r="AM132" s="114">
        <f>M132*V132</f>
        <v>0</v>
      </c>
      <c r="AN132" s="125">
        <v>0</v>
      </c>
      <c r="AO132" s="125"/>
      <c r="AP132" s="126"/>
      <c r="AQ132" s="125">
        <v>0</v>
      </c>
      <c r="AR132" s="127" t="s">
        <v>831</v>
      </c>
      <c r="AS132" s="53" t="s">
        <v>828</v>
      </c>
      <c r="AT132" s="122">
        <v>3919900000</v>
      </c>
      <c r="AU132" s="109" t="s">
        <v>112</v>
      </c>
      <c r="AV132" s="109" t="s">
        <v>416</v>
      </c>
      <c r="AW132" t="s">
        <v>417</v>
      </c>
      <c r="AX132" s="128"/>
    </row>
    <row r="133" customFormat="1" ht="79" customHeight="1" spans="1:50">
      <c r="A133" s="40">
        <v>130</v>
      </c>
      <c r="B133" s="37">
        <v>46175</v>
      </c>
      <c r="C133" s="107" t="s">
        <v>832</v>
      </c>
      <c r="D133" s="108">
        <v>2660110</v>
      </c>
      <c r="E133" s="109" t="s">
        <v>786</v>
      </c>
      <c r="F133" s="130" t="s">
        <v>289</v>
      </c>
      <c r="G133" s="110"/>
      <c r="H133" s="79" t="s">
        <v>833</v>
      </c>
      <c r="I133" s="109"/>
      <c r="J133" s="111" t="s">
        <v>834</v>
      </c>
      <c r="K133" s="111"/>
      <c r="L133" s="112"/>
      <c r="M133" s="113">
        <v>6.99</v>
      </c>
      <c r="N133" s="114">
        <f>M133-SUM(AF133+AH133+AK133+AL133+AM133+AN133+AQ133)</f>
        <v>1.66083021077283</v>
      </c>
      <c r="O133" s="115">
        <f>N133*U133</f>
        <v>14.18349</v>
      </c>
      <c r="P133" s="116">
        <f>N133/M133</f>
        <v>0.23760088852258</v>
      </c>
      <c r="Q133" s="114">
        <f>M133-SUM(AF133+AJ133+AK133+AL133+AM133+AN133+AO133+AP133+AQ133)</f>
        <v>2.01211826697892</v>
      </c>
      <c r="R133" s="115">
        <f>Q133*U133</f>
        <v>17.18349</v>
      </c>
      <c r="S133" s="117">
        <f>Q133/M133</f>
        <v>0.287856690554925</v>
      </c>
      <c r="T133" s="118" t="s">
        <v>61</v>
      </c>
      <c r="U133" s="119">
        <v>8.54</v>
      </c>
      <c r="V133" s="120">
        <v>0.2</v>
      </c>
      <c r="W133" s="120">
        <v>0.15</v>
      </c>
      <c r="X133" s="113">
        <v>11</v>
      </c>
      <c r="Y133" s="113">
        <v>9</v>
      </c>
      <c r="Z133" s="113">
        <v>2</v>
      </c>
      <c r="AA133" s="121">
        <f>(X133*Y133*Z133)/6000</f>
        <v>0.033</v>
      </c>
      <c r="AB133" s="113">
        <v>0.1</v>
      </c>
      <c r="AC133" s="122">
        <v>45</v>
      </c>
      <c r="AD133" s="122">
        <v>15</v>
      </c>
      <c r="AE133" s="113">
        <v>5.6</v>
      </c>
      <c r="AF133" s="123">
        <f>AE133/U133</f>
        <v>0.655737704918033</v>
      </c>
      <c r="AG133" s="124">
        <f>AC133*MAX(AA133:AB133)</f>
        <v>4.5</v>
      </c>
      <c r="AH133" s="114">
        <f>AG133/U133</f>
        <v>0.526932084309134</v>
      </c>
      <c r="AI133" s="114">
        <f>AD133*MAX(AA133:AB133)</f>
        <v>1.5</v>
      </c>
      <c r="AJ133" s="114">
        <f>AI133/U133</f>
        <v>0.175644028103045</v>
      </c>
      <c r="AK133" s="123">
        <f>M133*W133</f>
        <v>1.0485</v>
      </c>
      <c r="AL133" s="113">
        <v>1.7</v>
      </c>
      <c r="AM133" s="114">
        <f>M133*V133</f>
        <v>1.398</v>
      </c>
      <c r="AN133" s="125">
        <v>0</v>
      </c>
      <c r="AO133" s="125"/>
      <c r="AP133" s="126"/>
      <c r="AQ133" s="125">
        <v>0</v>
      </c>
      <c r="AR133" s="127" t="s">
        <v>835</v>
      </c>
      <c r="AS133" s="53" t="s">
        <v>836</v>
      </c>
      <c r="AT133" s="122">
        <v>4909009000</v>
      </c>
      <c r="AU133" s="109" t="s">
        <v>449</v>
      </c>
      <c r="AV133" s="109" t="s">
        <v>91</v>
      </c>
      <c r="AW133" s="53" t="s">
        <v>837</v>
      </c>
      <c r="AX133" s="128"/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3:AZ133" etc:filterBottomFollowUsedRange="1">
    <extLst/>
  </autoFilter>
  <mergeCells count="39">
    <mergeCell ref="A1:AU1"/>
    <mergeCell ref="J2:L2"/>
    <mergeCell ref="N2:P2"/>
    <mergeCell ref="Q2:S2"/>
    <mergeCell ref="AE2:AF2"/>
    <mergeCell ref="AG2:AH2"/>
    <mergeCell ref="AI2:AJ2"/>
    <mergeCell ref="AK2:AL2"/>
    <mergeCell ref="AN2:AP2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M2:M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M2:AM3"/>
    <mergeCell ref="AQ2:AQ3"/>
    <mergeCell ref="AR2:AR3"/>
    <mergeCell ref="AS2:AS3"/>
    <mergeCell ref="AT2:AT3"/>
    <mergeCell ref="AU2:AU3"/>
    <mergeCell ref="AV2:AV3"/>
    <mergeCell ref="AW2:AW3"/>
    <mergeCell ref="AX2:AX3"/>
  </mergeCells>
  <conditionalFormatting sqref="P3">
    <cfRule type="cellIs" dxfId="0" priority="4704" operator="lessThan">
      <formula>0</formula>
    </cfRule>
  </conditionalFormatting>
  <conditionalFormatting sqref="S3">
    <cfRule type="cellIs" dxfId="0" priority="4705" operator="lessThan">
      <formula>0</formula>
    </cfRule>
  </conditionalFormatting>
  <conditionalFormatting sqref="P4">
    <cfRule type="cellIs" dxfId="0" priority="8" operator="lessThan">
      <formula>0</formula>
    </cfRule>
  </conditionalFormatting>
  <conditionalFormatting sqref="S4">
    <cfRule type="cellIs" dxfId="0" priority="10" operator="lessThan">
      <formula>0</formula>
    </cfRule>
  </conditionalFormatting>
  <conditionalFormatting sqref="T4">
    <cfRule type="containsText" dxfId="1" priority="2" operator="between" text="FR">
      <formula>NOT(ISERROR(SEARCH("FR",T4)))</formula>
    </cfRule>
    <cfRule type="containsText" dxfId="2" priority="4" operator="between" text="DE">
      <formula>NOT(ISERROR(SEARCH("DE",T4)))</formula>
    </cfRule>
    <cfRule type="containsText" dxfId="3" priority="6" operator="between" text="UK">
      <formula>NOT(ISERROR(SEARCH("UK",T4)))</formula>
    </cfRule>
  </conditionalFormatting>
  <conditionalFormatting sqref="P5">
    <cfRule type="cellIs" dxfId="0" priority="7" operator="lessThan">
      <formula>0</formula>
    </cfRule>
  </conditionalFormatting>
  <conditionalFormatting sqref="S5">
    <cfRule type="cellIs" dxfId="0" priority="9" operator="lessThan">
      <formula>0</formula>
    </cfRule>
  </conditionalFormatting>
  <conditionalFormatting sqref="T5">
    <cfRule type="containsText" dxfId="1" priority="1" operator="between" text="FR">
      <formula>NOT(ISERROR(SEARCH("FR",T5)))</formula>
    </cfRule>
    <cfRule type="containsText" dxfId="2" priority="3" operator="between" text="DE">
      <formula>NOT(ISERROR(SEARCH("DE",T5)))</formula>
    </cfRule>
    <cfRule type="containsText" dxfId="3" priority="5" operator="between" text="UK">
      <formula>NOT(ISERROR(SEARCH("UK",T5)))</formula>
    </cfRule>
  </conditionalFormatting>
  <hyperlinks>
    <hyperlink ref="AR4" r:id="rId1" display="https://detail.1688.com/offer/971764513990.html?_t=1764220962551&amp;spm"/>
    <hyperlink ref="AR5" r:id="rId1" display="https://detail.1688.com/offer/971764513990.html?_t=1764220962551&amp;spm"/>
    <hyperlink ref="J4" r:id="rId2" display="https://www.amazon.co.uk/dp/B0GT4QHWZK/ref=mweb_up_am_fl_st_na_un_up_sm_web?th=1"/>
    <hyperlink ref="K4" r:id="rId3" display="https://www.amazon.co.uk/dp/B0GVCG8QM9"/>
    <hyperlink ref="L4" r:id="rId4" display="https://www.amazon.de/shopthelook?q=https%3A%2F%2Fm.media-amazon.com%2Fimages%2FI%2F81fB4Bx4QYL._SL400_.jpg"/>
    <hyperlink ref="J5" r:id="rId5" display="https://www.amazon.co.uk/dp/B0FBWX9C1N/ref=mweb_up_am_fl_st_na_un_up_sm_web"/>
    <hyperlink ref="L5" r:id="rId6" display="https://www.amazon.de/shopthelook?q=https%3A%2F%2Fm.media-amazon.com%2Fimages%2FI%2F81XF8P1OQrL._SL400_.jpg"/>
    <hyperlink ref="AR27" r:id="rId7" display="https://detail.1688.com/offer/979493801270.html?spm=a26352.b28411319/2508.0.0" tooltip="https://detail.1688.com/offer/979493801270.html?spm=a26352.b28411319/2508.0.0"/>
    <hyperlink ref="AR28" r:id="rId8" display="https://detail.1688.com/offer/1031675171280.html?spm=a26352.b28411319/2508.0.0" tooltip="https://detail.1688.com/offer/1031675171280.html?spm=a26352.b28411319/2508.0.0"/>
    <hyperlink ref="AR29" r:id="rId8" display="https://detail.1688.com/offer/1031675171280.html?spm=a26352.b28411319/2508.0.0" tooltip="https://detail.1688.com/offer/1031675171280.html?spm=a26352.b28411319/2508.0.0"/>
    <hyperlink ref="AR30" r:id="rId8" display="https://detail.1688.com/offer/1031675171280.html?spm=a26352.b28411319/2508.0.0" tooltip="https://detail.1688.com/offer/1031675171280.html?spm=a26352.b28411319/2508.0.0"/>
    <hyperlink ref="AR31" r:id="rId8" display="https://detail.1688.com/offer/1031675171280.html?spm=a26352.b28411319/2508.0.0" tooltip="https://detail.1688.com/offer/1031675171280.html?spm=a26352.b28411319/2508.0.0"/>
    <hyperlink ref="J36" r:id="rId9" display="https://www.amazon.co.uk/dp/B0GSFSM1L2" tooltip="https://www.amazon.co.uk/dp/B0GSFSM1L2"/>
    <hyperlink ref="K36" r:id="rId10" display="https://www.amazon.co.uk/dp/B0G3XLVGNT" tooltip="https://www.amazon.co.uk/dp/B0G3XLVGNT"/>
    <hyperlink ref="L36" r:id="rId11" display="https://www.amazon.co.uk/stylesnap?q=https%3A%2F%2Fm.media-amazon.com%2Fimages%2FI%2F71nImuB%2B31L._ACSX300_QL70_ML2_.jpg" tooltip="https://www.amazon.co.uk/stylesnap?q=https%3A%2F%2Fm.media-amazon.com%2Fimages%2FI%2F71nImuB%2B31L._ACSX300_QL70_ML2_.jpg"/>
    <hyperlink ref="J37" r:id="rId12" display="https://www.amazon.co.uk/Cunegra-Necklace-Bouquet-Pendant-Mothers/dp/B0GZ3W5HDN" tooltip="https://www.amazon.co.uk/Cunegra-Necklace-Bouquet-Pendant-Mothers/dp/B0GZ3W5HDN"/>
    <hyperlink ref="L37" r:id="rId13" display="https://www.amazon.com/shopthelook?q=https%3A%2F%2Fm.media-amazon.com%2Fimages%2FI%2F71Czsk8ZmDL._AC.jpg" tooltip="https://www.amazon.com/shopthelook?q=https%3A%2F%2Fm.media-amazon.com%2Fimages%2FI%2F71Czsk8ZmDL._AC.jpg"/>
    <hyperlink ref="K38" r:id="rId14" display="https://www.amazon.com/dp/B0GXKCFFPY" tooltip="https://www.amazon.com/dp/B0GXKCFFPY"/>
    <hyperlink ref="AR36" r:id="rId15" display="https://detail.1688.com/offer/1052769407610.html?spm" tooltip="https://detail.1688.com/offer/1052769407610.html?spm"/>
    <hyperlink ref="AR37" r:id="rId16" display="https://detail.1688.com/offer/1044035769590.html?spm" tooltip="https://detail.1688.com/offer/1044035769590.html?spm"/>
    <hyperlink ref="AR39" r:id="rId17" display="https://detail.1688.com/offer/1043329327818.html?spm" tooltip="https://detail.1688.com/offer/1043329327818.html?spm"/>
    <hyperlink ref="J39" r:id="rId18" display="https://www.amazon.co.uk/dp/B0GXJB2MJ6" tooltip="https://www.amazon.co.uk/dp/B0GXJB2MJ6"/>
    <hyperlink ref="L39" r:id="rId19" display="https://www.amazon.co.uk/stylesnap?q=https%3A%2F%2Fm.media-amazon.com%2Fimages%2FI%2F61cSjpqLePL.jpg" tooltip="https://www.amazon.co.uk/stylesnap?q=https%3A%2F%2Fm.media-amazon.com%2Fimages%2FI%2F61cSjpqLePL.jpg"/>
    <hyperlink ref="K39" r:id="rId20" display="https://www.amazon.co.uk/dp/B0F7HQXS6D" tooltip="https://www.amazon.co.uk/dp/B0F7HQXS6D"/>
    <hyperlink ref="J40" r:id="rId18" display="https://www.amazon.co.uk/dp/B0GXJB2MJ6" tooltip="https://www.amazon.co.uk/dp/B0GXJB2MJ6"/>
    <hyperlink ref="L40" r:id="rId19" display="https://www.amazon.co.uk/stylesnap?q=https%3A%2F%2Fm.media-amazon.com%2Fimages%2FI%2F61cSjpqLePL.jpg" tooltip="https://www.amazon.co.uk/stylesnap?q=https%3A%2F%2Fm.media-amazon.com%2Fimages%2FI%2F61cSjpqLePL.jpg"/>
    <hyperlink ref="K40" r:id="rId20" display="https://www.amazon.co.uk/dp/B0F7HQXS6D" tooltip="https://www.amazon.co.uk/dp/B0F7HQXS6D"/>
    <hyperlink ref="AR40" r:id="rId21" display="https://detail.1688.com/offer/1054900968753.html?spm" tooltip="https://detail.1688.com/offer/1054900968753.html?spm"/>
    <hyperlink ref="L42" r:id="rId22" display="https://www.amazon.de/-/en/Koboko-Napkins-Birthday-Decoration-Childrens/dp/B0GG39WD1X"/>
    <hyperlink ref="K42" r:id="rId23" display="https://www.amazon.de/-/en/PARTY-GO-Napkins-Childrens-Birthday/dp/B0F1SZTLDY"/>
    <hyperlink ref="J42" r:id="rId24" display="https://www.amazon.co.uk/dp/B0FYX27GMB" tooltip="https://www.amazon.co.uk/dp/B0FYX27GMB"/>
    <hyperlink ref="AR42" r:id="rId25" display="https://detail.1688.com/offer/1046547611617.html?spm" tooltip="https://detail.1688.com/offer/1046547611617.html?spm"/>
    <hyperlink ref="J43" r:id="rId26" display="https://www.amazon.co.uk/dp/B0GZNPB8SC" tooltip="https://www.amazon.co.uk/dp/B0GZNPB8SC"/>
    <hyperlink ref="AR44" r:id="rId27" display="https://detail.1688.com/offer/795497446186.html?_t=1780019622864&amp;spm" tooltip="https://detail.1688.com/offer/795497446186.html?_t=1780019622864&amp;spm"/>
    <hyperlink ref="K44" r:id="rId28" display="https://www.amazon.co.uk/dp/B0FT13F3Q7" tooltip="https://www.amazon.co.uk/dp/B0FT13F3Q7"/>
    <hyperlink ref="J44" r:id="rId29" display="https://www.amazon.co.uk/dp/B0GTYG78H9" tooltip="https://www.amazon.co.uk/dp/B0GTYG78H9"/>
    <hyperlink ref="J45" r:id="rId30" display="https://www.amazon.co.uk/dp/B0GHR9G9SH"/>
    <hyperlink ref="J46" r:id="rId30" display="https://www.amazon.co.uk/dp/B0GHR9G9SH"/>
    <hyperlink ref="L45" r:id="rId31" display="https://www.amazon.co.uk/stylesnap?q=https%3A%2F%2Fm.media-amazon.com%2Fimages%2FI%2F61lhUOfC8jL.jpg" tooltip="https://www.amazon.co.uk/stylesnap?q=https%3A%2F%2Fm.media-amazon.com%2Fimages%2FI%2F61lhUOfC8jL.jpg"/>
    <hyperlink ref="L46" r:id="rId31" display="https://www.amazon.co.uk/stylesnap?q=https%3A%2F%2Fm.media-amazon.com%2Fimages%2FI%2F61lhUOfC8jL.jpg" tooltip="https://www.amazon.co.uk/stylesnap?q=https%3A%2F%2Fm.media-amazon.com%2Fimages%2FI%2F61lhUOfC8jL.jpg"/>
    <hyperlink ref="AR45" r:id="rId32" display="https://detail.1688.com/offer/986476469057.html?fromkv=cbuPcPlugin:imageSearchDrawerCard&amp;spm" tooltip="https://detail.1688.com/offer/986476469057.html?fromkv=cbuPcPlugin:imageSearchDrawerCard&amp;spm"/>
    <hyperlink ref="AR46" r:id="rId32" display="https://detail.1688.com/offer/986476469057.html?fromkv=cbuPcPlugin:imageSearchDrawerCard&amp;spm" tooltip="https://detail.1688.com/offer/986476469057.html?fromkv=cbuPcPlugin:imageSearchDrawerCard&amp;spm"/>
    <hyperlink ref="J47" r:id="rId33" display="https://www.amazon.co.uk/dp/B0GJRHB89S" tooltip="https://www.amazon.co.uk/dp/B0GJRHB89S"/>
    <hyperlink ref="K47" r:id="rId34" display="https://www.amazon.com/dp/B0GDXV578P" tooltip="https://www.amazon.com/dp/B0GDXV578P"/>
    <hyperlink ref="AR47" r:id="rId35" display="https://detail.1688.com/offer/1049898934549.html?_t=1780025316101&amp;spm https://detail.1688.com/offer/796805556216.html?_t=1780025287862&amp;spm" tooltip="https://detail.1688.com/offer/1049898934549.html?_t=1780025316101&amp;spm"/>
    <hyperlink ref="J48" r:id="rId36" display="https://www.amazon.co.uk/dp/B0GQ95G3V1" tooltip="https://www.amazon.co.uk/dp/B0GQ95G3V1"/>
    <hyperlink ref="K48" r:id="rId37" display="https://www.amazon.co.uk/dp/B0GS2852D6" tooltip="https://www.amazon.co.uk/dp/B0GS2852D6"/>
    <hyperlink ref="L48" r:id="rId37" display="https://www.amazon.co.uk/dp/B0GS2852D6" tooltip="https://www.amazon.co.uk/dp/B0GS2852D6"/>
    <hyperlink ref="AR48" r:id="rId38" display="https://detail.1688.com/offer/1054164452740.html?spm" tooltip="https://detail.1688.com/offer/1054164452740.html?spm"/>
    <hyperlink ref="AR49" r:id="rId39" display="https://detail.1688.com/offer/1043747154962.html?spm" tooltip="https://detail.1688.com/offer/1043747154962.html?spm"/>
    <hyperlink ref="J49" r:id="rId40" display="https://www.amazon.co.uk/dp/B0FCLXMSF6" tooltip="https://www.amazon.co.uk/dp/B0FCLXMSF6"/>
    <hyperlink ref="AR50" r:id="rId39" display="https://detail.1688.com/offer/1043747154962.html?spm" tooltip="https://detail.1688.com/offer/1043747154962.html?spm"/>
    <hyperlink ref="AR51" r:id="rId41" display="https://detail.1688.com/offer/1044387534620.html?spm" tooltip="https://detail.1688.com/offer/1044387534620.html?spm"/>
    <hyperlink ref="AR43" r:id="rId42" display="https://detail.1688.com/offer/1054271992957.html?spm" tooltip="https://detail.1688.com/offer/1054271992957.html?spm"/>
    <hyperlink ref="J61" r:id="rId43" display="https://www.amazon.co.uk/dp/B0GVCFXTJP" tooltip="https://www.amazon.co.uk/dp/B0GVCFXTJP"/>
    <hyperlink ref="J52" r:id="rId44" display="https://www.amazon.com/dp/B0H2XVKXST" tooltip="https://www.amazon.com/dp/B0H2XVKXST"/>
    <hyperlink ref="AR52" r:id="rId45" display="https://detail.1688.com/offer/1053033920239.html?spm" tooltip="https://detail.1688.com/offer/1053033920239.html?spm"/>
    <hyperlink ref="J53" r:id="rId46" display="https://www.amazon.co.uk/dp/B0H1HNB3H9" tooltip="https://www.amazon.co.uk/dp/B0H1HNB3H9"/>
    <hyperlink ref="K53" r:id="rId47" display="https://www.amazon.com/dp/B0H1VN6TD4" tooltip="https://www.amazon.com/dp/B0H1VN6TD4"/>
    <hyperlink ref="L53" r:id="rId48" display="https://www.amazon.co.uk/stylesnap?q=https%3A%2F%2Fm.media-amazon.com%2Fimages%2FI%2F71sTsFWsOKL._AC.jpg" tooltip="https://www.amazon.co.uk/stylesnap?q=https%3A%2F%2Fm.media-amazon.com%2Fimages%2FI%2F71sTsFWsOKL._AC.jpg"/>
    <hyperlink ref="AR53" r:id="rId49" display="https://detail.1688.com/offer/1049646087915.html?spm" tooltip="https://detail.1688.com/offer/1049646087915.html?spm"/>
    <hyperlink ref="J60" r:id="rId50" display="https://www.amazon.co.uk/dp/B0GTTZW25N" tooltip="https://www.amazon.co.uk/dp/B0GTTZW25N"/>
    <hyperlink ref="J59" r:id="rId51" display="https://www.amazon.co.uk/dp/B0GKTP8TTJ" tooltip="https://www.amazon.co.uk/dp/B0GKTP8TTJ"/>
    <hyperlink ref="J54" r:id="rId52" display="https://www.amazon.co.uk/dp/B0GR9H6KQS" tooltip="https://www.amazon.co.uk/dp/B0GR9H6KQS"/>
    <hyperlink ref="L54" r:id="rId53" display="https://www.amazon.co.uk/stylesnap?q=https%3A%2F%2Fm.media-amazon.com%2Fimages%2FI%2F71if7W4z5zL._AC.jpg" tooltip="https://www.amazon.co.uk/stylesnap?q=https%3A%2F%2Fm.media-amazon.com%2Fimages%2FI%2F71if7W4z5zL._AC.jpg"/>
    <hyperlink ref="AR54" r:id="rId54" display="https://detail.1688.com/offer/1052125905785.html?_t=1780278993810&amp;spm" tooltip="https://detail.1688.com/offer/1052125905785.html?_t=1780278993810&amp;spm"/>
    <hyperlink ref="K52" r:id="rId55" display="https://www.amazon.co.uk/dp/B0H251SH2C" tooltip="https://www.amazon.co.uk/dp/B0H251SH2C"/>
    <hyperlink ref="J58" r:id="rId56" display="https://www.amazon.co.uk/dp/B0GYSFKFC7" tooltip="https://www.amazon.co.uk/dp/B0GYSFKFC7"/>
    <hyperlink ref="K58" r:id="rId57" display="https://www.amazon.co.uk/dp/B0GYSF1NZQ" tooltip="https://www.amazon.co.uk/dp/B0GYSF1NZQ"/>
    <hyperlink ref="L58" r:id="rId58" display="https://www.amazon.co.uk/stylesnap?q=https%3A%2F%2Fm.media-amazon.com%2Fimages%2FI%2F41qlP8dNJKL.jpg" tooltip="https://www.amazon.co.uk/stylesnap?q=https%3A%2F%2Fm.media-amazon.com%2Fimages%2FI%2F41qlP8dNJKL.jpg"/>
    <hyperlink ref="AR58" r:id="rId59" display="https://detail.1688.com/offer/1047738239197.html?fromkv=cbuPcPlugin:imageSearchDrawerCard&amp;spm" tooltip="https://detail.1688.com/offer/1047738239197.html?fromkv=cbuPcPlugin:imageSearchDrawerCard&amp;spm"/>
    <hyperlink ref="J41" r:id="rId60" display="https://www.amazon.co.uk/dp/B0H1CT7FRQ" tooltip="https://www.amazon.co.uk/dp/B0H1CT7FRQ"/>
    <hyperlink ref="L41" r:id="rId61" display="https://www.amazon.co.uk/stylesnap?q=https%3A%2F%2Fm.media-amazon.com%2Fimages%2FI%2F31nQ-QqHr1L.jpg" tooltip="https://www.amazon.co.uk/stylesnap?q=https%3A%2F%2Fm.media-amazon.com%2Fimages%2FI%2F31nQ-QqHr1L.jpg"/>
    <hyperlink ref="AR41" r:id="rId62" display="https://detail.1688.com/offer/1048640203048.html?spm" tooltip="https://detail.1688.com/offer/1048640203048.html?spm"/>
    <hyperlink ref="K41" r:id="rId63" display="https://www.amazon.de/dp/B0GXNM7H6M" tooltip="https://www.amazon.de/dp/B0GXNM7H6M"/>
    <hyperlink ref="K54" r:id="rId64" display="https://www.amazon.de/dp/B0GRB3GCQC" tooltip="https://www.amazon.de/dp/B0GRB3GCQC"/>
    <hyperlink ref="L55" r:id="rId22" display="https://www.amazon.de/-/en/Koboko-Napkins-Birthday-Decoration-Childrens/dp/B0GG39WD1X"/>
    <hyperlink ref="K55" r:id="rId23" display="https://www.amazon.de/-/en/PARTY-GO-Napkins-Childrens-Birthday/dp/B0F1SZTLDY"/>
    <hyperlink ref="J55" r:id="rId24" display="https://www.amazon.co.uk/dp/B0FYX27GMB" tooltip="https://www.amazon.co.uk/dp/B0FYX27GMB"/>
    <hyperlink ref="AR55" r:id="rId65" display="https://detail.1688.com/offer/1054544462475.html?spm" tooltip="https://detail.1688.com/offer/1054544462475.html?spm"/>
    <hyperlink ref="AR60" r:id="rId66" display="https://detail.1688.com/offer/1052832871120.html?"/>
    <hyperlink ref="J62" r:id="rId67" display="https://www.amazon.co.uk/Peacoblue-Stickers-Wildflowers-Waterproof-Decoration/dp/B0G2SJCLLM" tooltip="https://www.amazon.co.uk/Peacoblue-Stickers-Wildflowers-Waterproof-Decoration/dp/B0G2SJCLLM"/>
    <hyperlink ref="L62" r:id="rId68" display="https://www.amazon.co.uk/stylesnap?q=https%3A%2F%2Fm.media-amazon.com%2Fimages%2FI%2F61dfhIzIEOL.jpg" tooltip="https://www.amazon.co.uk/stylesnap?q=https%3A%2F%2Fm.media-amazon.com%2Fimages%2FI%2F61dfhIzIEOL.jpg"/>
    <hyperlink ref="AR62" r:id="rId69" display="https://detail.1688.com/offer/940195528867.html?spm" tooltip="https://detail.1688.com/offer/940195528867.html?spm"/>
    <hyperlink ref="J56" r:id="rId70" display="https://www.amazon.com/dp/B0G78JH6FR" tooltip="https://www.amazon.com/dp/B0G78JH6FR"/>
    <hyperlink ref="K56" r:id="rId71" display="https://www.amazon.com/dp/B0G4W2GQ31" tooltip="https://www.amazon.com/dp/B0G4W2GQ31"/>
    <hyperlink ref="J63" r:id="rId72" display="https://www.amazon.co.uk/dp/B0GTYYKJHQ" tooltip="https://www.amazon.co.uk/dp/B0GTYYKJHQ"/>
    <hyperlink ref="AR56" r:id="rId73" display="https://detail.1688.com/offer/1037576539879.html?offerId=1037576539879&amp;hotSaleSkuId=6222600139818&amp;spm" tooltip="https://detail.1688.com/offer/1037576539879.html?offerId=1037576539879&amp;hotSaleSkuId=6222600139818&amp;spm"/>
    <hyperlink ref="J57" r:id="rId74" display="https://www.amazon.de/dp/B0GRH1NXNX" tooltip="https://www.amazon.de/dp/B0GRH1NXNX"/>
    <hyperlink ref="L57" r:id="rId75" display="https://www.amazon.co.uk/stylesnap?q=https%3A%2F%2Fm.media-amazon.com%2Fimages%2FI%2F71aeRkELUIL._AC.jpg" tooltip="https://www.amazon.co.uk/stylesnap?q=https%3A%2F%2Fm.media-amazon.com%2Fimages%2FI%2F71aeRkELUIL._AC.jpg"/>
    <hyperlink ref="K57" r:id="rId76" display="https://www.amazon.co.uk/dp/B0GXKJ8CW5" tooltip="https://www.amazon.co.uk/dp/B0GXKJ8CW5"/>
    <hyperlink ref="AR57" r:id="rId77" display="https://detail.1688.com/offer/1047508163611.html?offerId=1047508163611&amp;hotSaleSkuId=6242561190419&amp;spm" tooltip="https://detail.1688.com/offer/1047508163611.html?offerId=1047508163611&amp;hotSaleSkuId=6242561190419&amp;spm"/>
    <hyperlink ref="J64" r:id="rId78" display="https://www.amazon.co.uk/Aurelx-Dachshund-Acrylic-Fresheners-Accessories/dp/B0GKFDX4PH"/>
    <hyperlink ref="AR64" r:id="rId79" display="https://detail.1688.com/offer/1051950802243.html" tooltip="https://detail.1688.com/offer/1051950802243.html"/>
    <hyperlink ref="AR63" r:id="rId79" display="https://detail.1688.com/offer/1051950802243.html" tooltip="https://detail.1688.com/offer/1051950802243.html"/>
    <hyperlink ref="AR59" r:id="rId80" display="https://detail.1688.com/offer/1006205503450.html?spm=a26286.8251493.description.2.221425b2eHhjOM" tooltip="https://detail.1688.com/offer/1006205503450.html?spm=a26286.8251493.description.2.221425b2eHhjOM"/>
    <hyperlink ref="AR61" r:id="rId66" display="https://detail.1688.com/offer/1052832871120.html?"/>
    <hyperlink ref="AR38" r:id="rId81" display="https://detail.1688.com/offer/1032423252698.html?fromkv=cbuPcPlugin:imageSearchDrawerCard&amp;spm" tooltip="https://detail.1688.com/offer/1032423252698.html?fromkv=cbuPcPlugin:imageSearchDrawerCard&amp;spm"/>
    <hyperlink ref="L66" r:id="rId82" display="https://www.amazon.co.uk/stylesnap?q=https%3A%2F%2Fm.media-amazon.com%2Fimages%2FI%2F71HF2iWZ9ML.jpg" tooltip="https://www.amazon.co.uk/stylesnap?q=https%3A%2F%2Fm.media-amazon.com%2Fimages%2FI%2F71HF2iWZ9ML.jpg"/>
    <hyperlink ref="J66" r:id="rId83" display="https://www.amazon.co.uk/dp/B0FVL3BBWJ" tooltip="https://www.amazon.co.uk/dp/B0FVL3BBWJ"/>
    <hyperlink ref="K66" r:id="rId84" display="https://www.amazon.co.uk/dp/B0GTYYKJHQ?psc=1" tooltip="https://www.amazon.co.uk/dp/B0GTYYKJHQ?psc=1"/>
    <hyperlink ref="J67" r:id="rId85" display="https://www.amazon.co.uk/dp/B0GMQF2WX7?psc=1" tooltip="https://www.amazon.co.uk/dp/B0GMQF2WX7?psc=1"/>
    <hyperlink ref="L67" r:id="rId86" display="https://www.amazon.co.uk/stylesnap?q=https%3A%2F%2Fm.media-amazon.com%2Fimages%2FI%2F71wUmotBODL.jpg" tooltip="https://www.amazon.co.uk/stylesnap?q=https%3A%2F%2Fm.media-amazon.com%2Fimages%2FI%2F71wUmotBODL.jpg"/>
    <hyperlink ref="AR67" r:id="rId87" display="https://detail.1688.com/offer/1012075970042.html?spm" tooltip="https://detail.1688.com/offer/1012075970042.html?spm"/>
    <hyperlink ref="AR68" r:id="rId88" display="https://detail.1688.com/offer/1030349242052.html?offerId" tooltip="https://detail.1688.com/offer/1030349242052.html?offerId"/>
    <hyperlink ref="J69" r:id="rId89" display="德国站:https://www.amazon.de/dp/B0GHVS9PK9/ref" tooltip="https://www.amazon.de/dp/B0GHVS9PK9/ref"/>
    <hyperlink ref="L69" r:id="rId90" display="https://www.amazon.co.uk/stylesnap?q=https%3A%2F%2Fm.media-amazon.com%2Fimages%2FI%2F61qJ2jKMVNL._AC.jpg" tooltip="https://www.amazon.co.uk/stylesnap?q=https%3A%2F%2Fm.media-amazon.com%2Fimages%2FI%2F61qJ2jKMVNL._AC.jpg"/>
    <hyperlink ref="AR69" r:id="rId91" display="https://detail.1688.com/offer/1010392917910.html?spm" tooltip="https://detail.1688.com/offer/1010392917910.html?spm"/>
    <hyperlink ref="AR70" r:id="rId92" display="https://detail.1688.com/offer/1039712336374.html?spm" tooltip="https://detail.1688.com/offer/1039712336374.html?spm"/>
    <hyperlink ref="J70" r:id="rId93" display="https://www.amazon.co.uk/dp/B0GTQ157ZX?th=1" tooltip="https://www.amazon.co.uk/dp/B0GTQ157ZX?th=1"/>
    <hyperlink ref="L70" r:id="rId94" display="https://www.amazon.co.uk/stylesnap?q=https%3A%2F%2Fm.media-amazon.com%2Fimages%2FI%2F71N6StNmNEL.jpg" tooltip="https://www.amazon.co.uk/stylesnap?q=https%3A%2F%2Fm.media-amazon.com%2Fimages%2FI%2F71N6StNmNEL.jpg"/>
    <hyperlink ref="K70" r:id="rId95" display="https://www.amazon.co.uk/dp/B0GSVP9GDQ?th=1" tooltip="https://www.amazon.co.uk/dp/B0GSVP9GDQ?th=1"/>
    <hyperlink ref="J72" r:id="rId96" display="https://www.amazon.co.uk/dp/B0GWQQ7WFV?th=1" tooltip="https://www.amazon.co.uk/dp/B0GWQQ7WFV?th=1"/>
    <hyperlink ref="L72" r:id="rId94" display="https://www.amazon.co.uk/stylesnap?q=https%3A%2F%2Fm.media-amazon.com%2Fimages%2FI%2F71N6StNmNEL.jpg" tooltip="https://www.amazon.co.uk/stylesnap?q=https%3A%2F%2Fm.media-amazon.com%2Fimages%2FI%2F71N6StNmNEL.jpg"/>
    <hyperlink ref="K72" r:id="rId96" display="https://www.amazon.co.uk/dp/B0GWQQ7WFV?th=1" tooltip="https://www.amazon.co.uk/dp/B0GWQQ7WFV?th=1"/>
    <hyperlink ref="K71" r:id="rId96" display="https://www.amazon.co.uk/dp/B0GWQQ7WFV?th=1" tooltip="https://www.amazon.co.uk/dp/B0GWQQ7WFV?th=1"/>
    <hyperlink ref="AR72" r:id="rId97" display="https://detail.1688.com/offer/1036449375228.html?spm" tooltip="https://detail.1688.com/offer/1036449375228.html?spm"/>
    <hyperlink ref="AR71" r:id="rId92" display="https://detail.1688.com/offer/1039712336374.html?spm" tooltip="https://detail.1688.com/offer/1039712336374.html?spm"/>
    <hyperlink ref="L71" r:id="rId98" display="https://www.amazon.co.uk/dp/B0GYWMD2T8?psc=1" tooltip="https://www.amazon.co.uk/dp/B0GYWMD2T8?psc=1"/>
    <hyperlink ref="AR73" r:id="rId99" display="https://detail.1688.com/offer/1031569019669.html" tooltip="https://detail.1688.com/offer/1031569019669.html"/>
    <hyperlink ref="J73" r:id="rId100" display="https://www.amazon.co.uk/dp/B0GN2SYCDK?th=1" tooltip="https://www.amazon.co.uk/dp/B0GN2SYCDK?th=1"/>
    <hyperlink ref="L73" r:id="rId101" display="https://www.amazon.co.uk/stylesnap?q=https%3A%2F%2Fm.media-amazon.com%2Fimages%2FI%2F71TiJT2SDgL.jpg" tooltip="https://www.amazon.co.uk/stylesnap?q=https%3A%2F%2Fm.media-amazon.com%2Fimages%2FI%2F71TiJT2SDgL.jpg"/>
    <hyperlink ref="J75" r:id="rId102" display="https://www.amazon.co.uk/dp/B0GQL8LVXZ?psc=1" tooltip="https://www.amazon.co.uk/dp/B0GQL8LVXZ?psc=1"/>
    <hyperlink ref="L75" r:id="rId103" display="https://www.amazon.co.uk/stylesnap?q=https%3A%2F%2Fm.media-amazon.com%2Fimages%2FI%2F81p3xxFTrJL.jpg" tooltip="https://www.amazon.co.uk/stylesnap?q=https%3A%2F%2Fm.media-amazon.com%2Fimages%2FI%2F81p3xxFTrJL.jpg"/>
    <hyperlink ref="AR75" r:id="rId104" display="https://detail.1688.com/offer/894171971205.html?spm" tooltip="https://detail.1688.com/offer/894171971205.html?spm"/>
    <hyperlink ref="J76" r:id="rId105" display="https://www.amazon.co.uk/dp/B0GYRRN47M?psc=1" tooltip="https://www.amazon.co.uk/dp/B0GYRRN47M?psc=1"/>
    <hyperlink ref="K76" r:id="rId106" display="https://www.amazon.co.uk/dp/B0F66J29FN" tooltip="https://www.amazon.co.uk/dp/B0F66J29FN"/>
    <hyperlink ref="AR76" r:id="rId107" display="https://detail.1688.com/offer/1047482133108.html?spm" tooltip="https://detail.1688.com/offer/1047482133108.html?spm"/>
    <hyperlink ref="J77" r:id="rId108" display="https://www.amazon.co.uk/dp/B0GRGCBDPG" tooltip="https://www.amazon.co.uk/dp/B0GRGCBDPG"/>
    <hyperlink ref="AR66" r:id="rId109" display="https://detail.1688.com/offer/1052832871120.html?spm=a28888.success.0.0.63a17e926u1OPm" tooltip="https://detail.1688.com/offer/1052832871120.html?spm=a28888.success.0.0.63a17e926u1OPm"/>
    <hyperlink ref="AR78" r:id="rId110" display="https://detail.1688.com/offer/1045288037552.html?spm" tooltip="https://detail.1688.com/offer/1045288037552.html?spm"/>
    <hyperlink ref="J78" r:id="rId111" display="https://www.amazon.co.uk/dp/B0DSFFWGLP?psc=1" tooltip="https://www.amazon.co.uk/dp/B0DSFFWGLP?psc=1"/>
    <hyperlink ref="AR79" r:id="rId112" display="https://detail.1688.com/offer/842212598948.html?_t" tooltip="https://detail.1688.com/offer/842212598948.html?_t"/>
    <hyperlink ref="J68" r:id="rId113" display="https://www.amazon.co.uk/dp/B0GQZBY67K" tooltip="https://www.amazon.co.uk/dp/B0GQZBY67K"/>
    <hyperlink ref="J65" r:id="rId114" display="https://www.amazon.co.uk/dp/B0FPQPNXGJ" tooltip="https://www.amazon.co.uk/dp/B0FPQPNXGJ"/>
    <hyperlink ref="AR77" r:id="rId109" display="https://detail.1688.com/offer/1052832871120.html?spm=a28888.success.0.0.63a17e926u1OPm" tooltip="https://detail.1688.com/offer/1052832871120.html?spm=a28888.success.0.0.63a17e926u1OPm"/>
    <hyperlink ref="AR65" r:id="rId109" display="https://detail.1688.com/offer/1052832871120.html?spm=a28888.success.0.0.63a17e926u1OPm" tooltip="https://detail.1688.com/offer/1052832871120.html?spm=a28888.success.0.0.63a17e926u1OPm"/>
    <hyperlink ref="L80" r:id="rId115" display="https://www.amazon.co.uk/stylesnap?q=https%3A%2F%2Fm.media-amazon.com%2Fimages%2FI%2F61I6q423dBL.jpg" tooltip="https://www.amazon.co.uk/stylesnap?q=https%3A%2F%2Fm.media-amazon.com%2Fimages%2FI%2F61I6q423dBL.jpg"/>
    <hyperlink ref="J80" r:id="rId116" display="https://www.amazon.co.uk/dp/B0GT3T6HVC?th=1" tooltip="https://www.amazon.co.uk/dp/B0GT3T6HVC?th=1"/>
    <hyperlink ref="K80" r:id="rId117" display="https://www.amazon.co.uk/dp/B0GFWDNZJS?th=1" tooltip="https://www.amazon.co.uk/dp/B0GFWDNZJS?th=1"/>
    <hyperlink ref="AR80" r:id="rId118" display="https://detail.1688.com/offer/1015573912033.html?spm" tooltip="https://detail.1688.com/offer/1015573912033.html?spm"/>
    <hyperlink ref="J81" r:id="rId119" display="https://www.amazon.co.uk/dp/B0H2MC339V?th=1" tooltip="https://www.amazon.co.uk/dp/B0H2MC339V?th=1"/>
    <hyperlink ref="K81" r:id="rId120" display="https://www.amazon.co.uk/dp/B0H25V983K?th=1&amp;psc=1" tooltip="https://www.amazon.co.uk/dp/B0H25V983K?th=1&amp;psc=1"/>
    <hyperlink ref="L81" r:id="rId121" display="https://www.amazon.co.uk/stylesnap?q=https%3A%2F%2Fm.media-amazon.com%2Fimages%2FI%2F61hzcNaCpqL.jpg" tooltip="https://www.amazon.co.uk/stylesnap?q=https%3A%2F%2Fm.media-amazon.com%2Fimages%2FI%2F61hzcNaCpqL.jpg"/>
    <hyperlink ref="AR81" r:id="rId122" display="https://detail.1688.com/offer/1054478188684.html?spm" tooltip="https://detail.1688.com/offer/1054478188684.html?spm"/>
    <hyperlink ref="AR82" r:id="rId122" display="https://detail.1688.com/offer/1054478188684.html?spm" tooltip="https://detail.1688.com/offer/1054478188684.html?spm"/>
    <hyperlink ref="AR83" r:id="rId122" display="https://detail.1688.com/offer/1054478188684.html?spm" tooltip="https://detail.1688.com/offer/1054478188684.html?spm"/>
    <hyperlink ref="AR74" r:id="rId123" display="https://detail.1688.com/offer/1055060553880.html?spm" tooltip="https://detail.1688.com/offer/1055060553880.html?spm"/>
    <hyperlink ref="J74" r:id="rId124" display="https://www.amazon.co.uk/dp/B0FHJQQV3H/ref" tooltip="https://www.amazon.co.uk/dp/B0FHJQQV3H/ref"/>
    <hyperlink ref="K74" r:id="rId125" display="https://www.amazon.co.uk/dp/B0DK6FZ2SR/ref" tooltip="https://www.amazon.co.uk/dp/B0DK6FZ2SR/ref"/>
    <hyperlink ref="L74" r:id="rId126" display="https://www.amazon.co.uk/stylesnap?q=https%3A%2F%2Fm.media-amazon.com%2Fimages%2FI%2F71BN3TkmfXL._AC.jpg"/>
    <hyperlink ref="K99" r:id="rId127" display="https://www.amazon.co.uk/dp/B0CT7VP1YL/ref=mweb_up_am_fl_st_na_un_up_sm_web?th=1"/>
    <hyperlink ref="J99" r:id="rId128" display="https://www.amazon.co.uk/dp/B0FH6GYTJP/ref=mweb_up_am_fl_st_na_un_up_sm_web"/>
    <hyperlink ref="L99" r:id="rId129" display="https://www.amazon.co.uk/stylesnap?q=https%3A%2F%2Fm.media-amazon.com%2Fimages%2FI%2F41Zgvy2TZ5L.jpg"/>
    <hyperlink ref="AR99" r:id="rId130" display="https://detail.1688.com/offer/746002238261.html  https://detail.1688.com/offer/1038805482906.html"/>
    <hyperlink ref="AR100" r:id="rId131" display="https://detail.1688.com/offer/1038805482906.html"/>
    <hyperlink ref="AR101" r:id="rId130" display="https://detail.1688.com/offer/746002238261.html"/>
    <hyperlink ref="AR102" r:id="rId132" display="https://detail.1688.com/offer/550083498444.html"/>
    <hyperlink ref="J102" r:id="rId133" display="https://www.amazon.co.uk/dp/B0GJS716QK?psc=1"/>
    <hyperlink ref="AR104" r:id="rId134" display="https://detail.1688.com/offer/913869787083.html"/>
    <hyperlink ref="AR103" r:id="rId135" display="https://detail.1688.com/offer/910653782229.html"/>
    <hyperlink ref="J105" r:id="rId136" display="https://www.amazon.co.uk/dp/B0GS1RVBHM/ref=mweb_up_am_fl_st_na_un_up_sm_web?th=1"/>
    <hyperlink ref="AR105" r:id="rId137" display="https://detail.1688.com/offer/949826443227.html"/>
    <hyperlink ref="AR106" r:id="rId137" display="https://detail.1688.com/offer/949826443227.html"/>
    <hyperlink ref="J106" r:id="rId138" display="https://www.amazon.co.uk/dp/B0GS1S1Y66/ref=mweb_up_am_fl_st_na_un_up_sm_web?th=1"/>
    <hyperlink ref="J107" r:id="rId139" display="https://www.amazon.de/-/en/Aurelx/dp/B0GV45HRPD"/>
    <hyperlink ref="J108" r:id="rId140" display="https://www.amazon.co.uk/dp/B0GHJ3WDTR/ref=mweb_up_am_fl_st_na_un_up_sm_web"/>
    <hyperlink ref="K107" r:id="rId140" display="https://www.amazon.co.uk/dp/B0GHJ3WDTR/ref=mweb_up_am_fl_st_na_un_up_sm_web"/>
    <hyperlink ref="AR107" r:id="rId141" display="https://detail.1688.com/offer/1047923875703.html"/>
    <hyperlink ref="AR108" r:id="rId141" display="https://detail.1688.com/offer/1047923875703.html"/>
    <hyperlink ref="AR109" r:id="rId142" display="https://detail.1688.com/offer/1029709685589.html"/>
    <hyperlink ref="J109" r:id="rId143" display="https://www.amazon.co.uk/Toddlers-Refrigerator-Whiteboard-Educational-Preschool/dp/B0GVRFXL67"/>
    <hyperlink ref="L103" r:id="rId144" display="https://www.amazon.co.uk/stylesnap?q=https%3A%2F%2Fm.media-amazon.com%2Fimages%2FI%2F81Fox-dNFRL.jpg"/>
    <hyperlink ref="L104" r:id="rId145" display="https://www.amazon.co.uk/stylesnap?q=https%3A%2F%2Fm.media-amazon.com%2Fimages%2FI%2F81dXRXMnAYL.jpg"/>
    <hyperlink ref="J110" r:id="rId146" display="https://www.amazon.co.uk/dp/B0FNFV89PK/ref=mweb_up_am_fl_st_na_un_up_sm_web?th=1"/>
    <hyperlink ref="AR110" r:id="rId147" display="https://detail.1688.com/offer/1047066251731.html"/>
    <hyperlink ref="AR111" r:id="rId148" display="https://detail.1688.com/offer/842233349277.html"/>
    <hyperlink ref="J112" r:id="rId149" display="https://www.amazon.co.uk/dp/B0GKV6GRF2?psc=1"/>
    <hyperlink ref="J113" r:id="rId150" display="https://www.amazon.co.uk/dp/B0BMPSN47M/ref=mweb_up_am_fl_st_na_un_up_sm_web?th=1"/>
    <hyperlink ref="AR113" r:id="rId151" display="https://detail.1688.com/offer/856702363779.html"/>
    <hyperlink ref="L112" r:id="rId152" display="https://www.amazon.co.uk/stylesnap?q=https%3A%2F%2Fm.media-amazon.com%2Fimages%2FI%2F71se8PzBKYL.jpg"/>
    <hyperlink ref="L111" r:id="rId153" display="https://www.amazon.co.uk/stylesnap?q=https%3A%2F%2Fm.media-amazon.com%2Fimages%2FI%2F81fMQiEZCYL.jpg"/>
    <hyperlink ref="AR114" r:id="rId154" display="https://detail.1688.com/offer/751795404525.html?spm" tooltip="https://detail.1688.com/offer/751795404525.html?spm"/>
    <hyperlink ref="AR115" r:id="rId154" display="https://detail.1688.com/offer/751795404525.html?spm" tooltip="https://detail.1688.com/offer/751795404525.html?spm"/>
    <hyperlink ref="J114" r:id="rId155" display="https://www.amazon.co.uk/dp/B0GFW8J6CD?psc=1"/>
    <hyperlink ref="J115" r:id="rId155" display="https://www.amazon.co.uk/dp/B0GFW8J6CD?psc=1"/>
    <hyperlink ref="AR116" r:id="rId154" display="https://detail.1688.com/offer/751795404525.html?spm" tooltip="https://detail.1688.com/offer/751795404525.html?spm"/>
    <hyperlink ref="AR117" r:id="rId154" display="https://detail.1688.com/offer/751795404525.html?spm" tooltip="https://detail.1688.com/offer/751795404525.html?spm"/>
    <hyperlink ref="J116" r:id="rId156" display="https://www.amazon.co.uk/dp/B0D6K8M9HY/ref=mweb_up_am_fl_st_na_un_up_sm_web?th=1"/>
    <hyperlink ref="J117" r:id="rId156" display="https://www.amazon.co.uk/dp/B0D6K8M9HY/ref=mweb_up_am_fl_st_na_un_up_sm_web?th=1"/>
    <hyperlink ref="AR118" r:id="rId157" display="https://detail.1688.com/offer/1032820518195.html"/>
    <hyperlink ref="L118" r:id="rId158" display="https://www.amazon.co.uk/stylesnap?q=https%3A%2F%2Fm.media-amazon.com%2Fimages%2FI%2F61BUpvUBhML.jpg"/>
    <hyperlink ref="J118" r:id="rId159" display="https://www.amazon.co.uk/dp/B0FN7Z6C9M?th=1"/>
    <hyperlink ref="J119" r:id="rId160" display="https://www.amazon.co.uk/dp/B0FK4WF4DP?th=1"/>
    <hyperlink ref="AR119" r:id="rId161" display="https://detail.1688.com/offer/1043915147151.html"/>
    <hyperlink ref="J120" r:id="rId162" display="https://www.amazon.co.uk/dp/B0GHY5Q3NX/ref=mweb_up_am_fl_st_na_un_up_sm_web?th=1"/>
    <hyperlink ref="AR120" r:id="rId161" display="https://detail.1688.com/offer/1043915147151.html"/>
    <hyperlink ref="AR123" r:id="rId163" display="https://detail.1688.com/offer/951253427337.html"/>
    <hyperlink ref="AR122" r:id="rId164" display="https://detail.1688.com/offer/1025633467531.html"/>
    <hyperlink ref="AR121" r:id="rId164" display="https://detail.1688.com/offer/1025633467531.html" tooltip="https://detail.1688.com/offer/1025633467531.html"/>
    <hyperlink ref="J121" r:id="rId165" display="https://www.amazon.co.uk/dp/B0GJ5W3VZT/ref=mweb_up_am_fl_st_na_un_up_sm_web"/>
    <hyperlink ref="L114" r:id="rId166" display="https://www.amazon.co.uk/stylesnap?q=https%3A%2F%2Fm.media-amazon.com%2Fimages%2FI%2F71dtbYpWkLL.jpg"/>
    <hyperlink ref="L115" r:id="rId166" display="https://www.amazon.co.uk/stylesnap?q=https%3A%2F%2Fm.media-amazon.com%2Fimages%2FI%2F71dtbYpWkLL.jpg"/>
    <hyperlink ref="L116" r:id="rId167" display="https://www.amazon.co.uk/stylesnap?q=https%3A%2F%2Fm.media-amazon.com%2Fimages%2FI%2F71zr3CmPpIL._ACSX300_QL70_ML2_.jpg"/>
    <hyperlink ref="L117" r:id="rId167" display="https://www.amazon.co.uk/stylesnap?q=https%3A%2F%2Fm.media-amazon.com%2Fimages%2FI%2F71zr3CmPpIL._ACSX300_QL70_ML2_.jpg"/>
    <hyperlink ref="K62" r:id="rId168" display="https://www.amazon.de/dp/B0G1STHG5C/ref=mweb_up_am_fl_st_na_un_up_sm_web?th=1" tooltip="https://www.amazon.de/dp/B0G1STHG5C/ref=mweb_up_am_fl_st_na_un_up_sm_web?th=1"/>
    <hyperlink ref="J124" r:id="rId169" display="https://www.amazon.co.uk/dp/B0GK7ZPWFF/ref=mweb_up_am_fl_st_na_un_up_sm_web"/>
    <hyperlink ref="AR124" r:id="rId170" display="https://detail.1688.com/offer/915059188064.html?spm=a26352.b28411319/2508.0.0"/>
    <hyperlink ref="K125" r:id="rId171" display="https://www.amazon.co.uk/dp/B0GVCPP1XM?psc=1"/>
    <hyperlink ref="J125" r:id="rId172" display="https://www.amazon.co.uk/dp/B0GW88VGDC/ref=mweb_up_am_fl_st_na_un_up_sm_web"/>
    <hyperlink ref="AR125" r:id="rId173" display="https://detail.1688.com/offer/801456617623.html?spm=a26352.b28411319/2508.0.0"/>
    <hyperlink ref="J126" r:id="rId174" display="https://www.amazon.co.uk/dp/B0GSP8WPVD/ref=mweb_up_am_fl_st_na_un_up_sm_web"/>
    <hyperlink ref="K126" r:id="rId175" display="https://www.amazon.co.uk/dp/B0GVW521ZL/ref=mweb_up_am_fl_st_na_un_up_sm_web"/>
    <hyperlink ref="AR126" r:id="rId176" display="https://detail.1688.com/offer/1048038705216.html?spm=a21i7k.1688_web_im.chatboxOD.0"/>
    <hyperlink ref="J130" r:id="rId177" display="https://www.amazon.co.uk/dp/B0GTVB18JW?psc=1"/>
    <hyperlink ref="AR132" r:id="rId178" display="https://detail.1688.com/offer/651961583845.html?_t=1779962169104&amp;spm=a2615.7691456/2506.co_0_0_wangpu_score_0_0_0_0_1_0_0000_0.0"/>
    <hyperlink ref="K130" r:id="rId179" display="https://www.amazon.co.uk/dp/B0FZKLXHDG/ref=mweb_up_am_fl_st_na_un_up_sm_web"/>
    <hyperlink ref="J133" r:id="rId180" display="https://www.amazon.co.uk/dp/B0FXDXTYDF/ref=mweb_up_am_fl_st_na_un_up_sm_web" tooltip="https://www.amazon.co.uk/dp/B0FXDXTYDF/ref=mweb_up_am_fl_st_na_un_up_sm_web"/>
    <hyperlink ref="AR133" r:id="rId181" display="https://detail.1688.com/offer/1041123253340.html?spm=a26352.b28411319/2508.0.0&amp;cosite=-&amp;tracelog=p4p&amp;_p_isad=1&amp;clickid=17d4a5c876324624905a290c1c843a00&amp;sessionid=2f74c9572f5e45718875c5401e6b149e"/>
    <hyperlink ref="AR127" r:id="rId176" display="https://detail.1688.com/offer/1048038705216.html?spm=a21i7k.1688_web_im.chatboxOD.0" tooltip="https://detail.1688.com/offer/1048038705216.html?spm=a21i7k.1688_web_im.chatboxOD.0"/>
    <hyperlink ref="AR128" r:id="rId182" display="https://detail.1688.com/offer/855207662245.html?spm=a26352.b28411319/2508.0.0" tooltip="https://detail.1688.com/offer/855207662245.html?spm=a26352.b28411319/2508.0.0"/>
    <hyperlink ref="J129" r:id="rId183" display="https://www.amazon.co.uk/dp/B0GTKBV5CS/ref=mweb_up_am_fl_st_na_un_up_sm_web"/>
    <hyperlink ref="K129" r:id="rId184" display="https://www.amazon.co.uk/dp/B0GSTBN6ZT/ref=mweb_up_am_fl_st_na_un_up_sm_web"/>
    <hyperlink ref="AR129" r:id="rId185" display="https://detail.1688.com/offer/1055022421299.html?spm=a2615.pc_new_goods/2506.wp_pc_new_product_list.0"/>
    <hyperlink ref="L125" r:id="rId186" display="https://www.amazon.de/dp/B0GF1XMSV2/ref=mweb_up_am_fl_st_na_un_up_sm_web"/>
    <hyperlink ref="AR131" r:id="rId187" display="https://detail.1688.com/offer/1036435899866.html?spm=a26352.b28411319/2508.0.0"/>
    <hyperlink ref="AR130" r:id="rId187" display="https://detail.1688.com/offer/1036435899866.html?spm=a26352.b28411319/2508.0.0"/>
    <hyperlink ref="L129" r:id="rId188" display="https://www.amazon.de/dp/B0GT79KH9L/ref=mweb_up_am_fl_st_na_un_up_sm_web" tooltip="https://www.amazon.de/dp/B0GT79KH9L/ref=mweb_up_am_fl_st_na_un_up_sm_web"/>
    <hyperlink ref="J35" r:id="rId189" display="https://www.amazon.co.uk/dp/B0GK7ZPWFF/ref" tooltip="https://www.amazon.co.uk/dp/B0GK7ZPWFF/ref"/>
    <hyperlink ref="K35" r:id="rId190" display="https://www.amazon.co.uk/dp/B0GJ5N14ZG/ref" tooltip="https://www.amazon.co.uk/dp/B0GJ5N14ZG/ref"/>
    <hyperlink ref="L35" r:id="rId191" display="https://www.amazon.co.uk/stylesnap?q=https%3A%2F%2Fm.media-amazon.com%2Fimages%2FI%2F71xl7MbBU5L.jpg" tooltip="https://www.amazon.co.uk/stylesnap?q=https%3A%2F%2Fm.media-amazon.com%2Fimages%2FI%2F71xl7MbBU5L.jpg"/>
    <hyperlink ref="AR35" r:id="rId192" display="https://page.1688.com/shtml/static/wrongpage.html" tooltip="https://page.1688.com/shtml/static/wrongpage.html"/>
    <hyperlink ref="J79" r:id="rId111" display="https://www.amazon.co.uk/dp/B0DSFFWGLP?psc=1" tooltip="https://www.amazon.co.uk/dp/B0DSFFWGLP?psc=1"/>
    <hyperlink ref="J82" r:id="rId119" display="https://www.amazon.co.uk/dp/B0H2MC339V?th=1" tooltip="https://www.amazon.co.uk/dp/B0H2MC339V?th=1"/>
    <hyperlink ref="J83" r:id="rId119" display="https://www.amazon.co.uk/dp/B0H2MC339V?th=1" tooltip="https://www.amazon.co.uk/dp/B0H2MC339V?th=1"/>
    <hyperlink ref="K82" r:id="rId120" display="https://www.amazon.co.uk/dp/B0H25V983K?th=1&amp;psc=1" tooltip="https://www.amazon.co.uk/dp/B0H25V983K?th=1&amp;psc=1"/>
    <hyperlink ref="K83" r:id="rId120" display="https://www.amazon.co.uk/dp/B0H25V983K?th=1&amp;psc=1" tooltip="https://www.amazon.co.uk/dp/B0H25V983K?th=1&amp;psc=1"/>
    <hyperlink ref="L82" r:id="rId121" display="https://www.amazon.co.uk/stylesnap?q=https%3A%2F%2Fm.media-amazon.com%2Fimages%2FI%2F61hzcNaCpqL.jpg" tooltip="https://www.amazon.co.uk/stylesnap?q=https%3A%2F%2Fm.media-amazon.com%2Fimages%2FI%2F61hzcNaCpqL.jpg"/>
    <hyperlink ref="L83" r:id="rId121" display="https://www.amazon.co.uk/stylesnap?q=https%3A%2F%2Fm.media-amazon.com%2Fimages%2FI%2F61hzcNaCpqL.jpg" tooltip="https://www.amazon.co.uk/stylesnap?q=https%3A%2F%2Fm.media-amazon.com%2Fimages%2FI%2F61hzcNaCpqL.jpg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X52"/>
  <sheetViews>
    <sheetView zoomScale="60" zoomScaleNormal="60" topLeftCell="L1" workbookViewId="0">
      <pane ySplit="3" topLeftCell="A46" activePane="bottomLeft" state="frozen"/>
      <selection/>
      <selection pane="bottomLeft" activeCell="AX50" sqref="AX50:AX51"/>
    </sheetView>
  </sheetViews>
  <sheetFormatPr defaultColWidth="9" defaultRowHeight="13.5"/>
  <cols>
    <col min="2" max="2" width="12.375" customWidth="1"/>
    <col min="4" max="4" width="12.25" customWidth="1"/>
    <col min="46" max="46" width="17.3083333333333" customWidth="1"/>
    <col min="50" max="50" width="24.1833333333333"/>
  </cols>
  <sheetData>
    <row r="1" s="1" customFormat="1" ht="58" customHeight="1" spans="1:50">
      <c r="A1" s="5" t="s">
        <v>838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</row>
    <row r="2" s="2" customFormat="1" ht="45" customHeight="1" spans="1:50">
      <c r="A2" s="6" t="s">
        <v>1</v>
      </c>
      <c r="B2" s="7" t="s">
        <v>2</v>
      </c>
      <c r="C2" s="8" t="s">
        <v>3</v>
      </c>
      <c r="D2" s="9" t="s">
        <v>4</v>
      </c>
      <c r="E2" s="7" t="s">
        <v>5</v>
      </c>
      <c r="F2" s="8" t="s">
        <v>6</v>
      </c>
      <c r="G2" s="7" t="s">
        <v>7</v>
      </c>
      <c r="H2" s="7" t="s">
        <v>839</v>
      </c>
      <c r="I2" s="8" t="s">
        <v>9</v>
      </c>
      <c r="J2" s="10" t="s">
        <v>10</v>
      </c>
      <c r="K2" s="10"/>
      <c r="L2" s="10"/>
      <c r="M2" s="11" t="s">
        <v>11</v>
      </c>
      <c r="N2" s="12" t="s">
        <v>12</v>
      </c>
      <c r="O2" s="13"/>
      <c r="P2" s="13"/>
      <c r="Q2" s="12" t="s">
        <v>13</v>
      </c>
      <c r="R2" s="13"/>
      <c r="S2" s="13"/>
      <c r="T2" s="14" t="s">
        <v>14</v>
      </c>
      <c r="U2" s="14" t="s">
        <v>15</v>
      </c>
      <c r="V2" s="15" t="s">
        <v>840</v>
      </c>
      <c r="W2" s="16" t="s">
        <v>17</v>
      </c>
      <c r="X2" s="14" t="s">
        <v>841</v>
      </c>
      <c r="Y2" s="14" t="s">
        <v>842</v>
      </c>
      <c r="Z2" s="14" t="s">
        <v>843</v>
      </c>
      <c r="AA2" s="15" t="s">
        <v>844</v>
      </c>
      <c r="AB2" s="14" t="s">
        <v>845</v>
      </c>
      <c r="AC2" s="14" t="s">
        <v>846</v>
      </c>
      <c r="AD2" s="14" t="s">
        <v>847</v>
      </c>
      <c r="AE2" s="17" t="s">
        <v>25</v>
      </c>
      <c r="AF2" s="18"/>
      <c r="AG2" s="19" t="s">
        <v>26</v>
      </c>
      <c r="AH2" s="20"/>
      <c r="AI2" s="19" t="s">
        <v>27</v>
      </c>
      <c r="AJ2" s="20"/>
      <c r="AK2" s="21" t="s">
        <v>28</v>
      </c>
      <c r="AL2" s="15"/>
      <c r="AM2" s="18" t="s">
        <v>848</v>
      </c>
      <c r="AN2" s="19" t="s">
        <v>30</v>
      </c>
      <c r="AO2" s="20"/>
      <c r="AP2" s="20"/>
      <c r="AQ2" s="21" t="s">
        <v>849</v>
      </c>
      <c r="AR2" s="10" t="s">
        <v>32</v>
      </c>
      <c r="AS2" s="22" t="s">
        <v>33</v>
      </c>
      <c r="AT2" s="22" t="s">
        <v>850</v>
      </c>
      <c r="AU2" s="22" t="s">
        <v>35</v>
      </c>
      <c r="AV2" s="10" t="s">
        <v>36</v>
      </c>
      <c r="AW2" s="10" t="s">
        <v>37</v>
      </c>
      <c r="AX2" s="10" t="s">
        <v>38</v>
      </c>
    </row>
    <row r="3" s="2" customFormat="1" ht="47.25" spans="1:50">
      <c r="A3" s="23"/>
      <c r="B3" s="8"/>
      <c r="C3" s="24"/>
      <c r="D3" s="24"/>
      <c r="E3" s="9"/>
      <c r="F3" s="24"/>
      <c r="G3" s="8"/>
      <c r="H3" s="8"/>
      <c r="I3" s="25"/>
      <c r="J3" s="26" t="s">
        <v>851</v>
      </c>
      <c r="K3" s="26" t="s">
        <v>852</v>
      </c>
      <c r="L3" s="26" t="s">
        <v>853</v>
      </c>
      <c r="M3" s="27"/>
      <c r="N3" s="28" t="s">
        <v>854</v>
      </c>
      <c r="O3" s="28" t="s">
        <v>855</v>
      </c>
      <c r="P3" s="28" t="s">
        <v>856</v>
      </c>
      <c r="Q3" s="28" t="s">
        <v>854</v>
      </c>
      <c r="R3" s="28" t="s">
        <v>855</v>
      </c>
      <c r="S3" s="28" t="s">
        <v>856</v>
      </c>
      <c r="T3" s="29"/>
      <c r="U3" s="29"/>
      <c r="V3" s="29"/>
      <c r="W3" s="30"/>
      <c r="X3" s="29"/>
      <c r="Y3" s="29"/>
      <c r="Z3" s="29"/>
      <c r="AA3" s="29"/>
      <c r="AB3" s="29"/>
      <c r="AC3" s="29"/>
      <c r="AD3" s="29"/>
      <c r="AE3" s="31" t="s">
        <v>857</v>
      </c>
      <c r="AF3" s="32" t="s">
        <v>858</v>
      </c>
      <c r="AG3" s="33" t="s">
        <v>859</v>
      </c>
      <c r="AH3" s="33" t="s">
        <v>860</v>
      </c>
      <c r="AI3" s="33" t="s">
        <v>859</v>
      </c>
      <c r="AJ3" s="33" t="s">
        <v>860</v>
      </c>
      <c r="AK3" s="32" t="s">
        <v>861</v>
      </c>
      <c r="AL3" s="32" t="s">
        <v>862</v>
      </c>
      <c r="AM3" s="34"/>
      <c r="AN3" s="33" t="s">
        <v>863</v>
      </c>
      <c r="AO3" s="33" t="s">
        <v>864</v>
      </c>
      <c r="AP3" s="33" t="s">
        <v>865</v>
      </c>
      <c r="AQ3" s="34"/>
      <c r="AR3" s="26"/>
      <c r="AS3" s="35"/>
      <c r="AT3" s="35"/>
      <c r="AU3" s="35"/>
      <c r="AV3" s="35"/>
      <c r="AW3" s="35"/>
      <c r="AX3" s="26"/>
    </row>
    <row r="4" s="3" customFormat="1" ht="79" customHeight="1" spans="1:50">
      <c r="A4" s="36">
        <v>1</v>
      </c>
      <c r="B4" s="37">
        <v>46175</v>
      </c>
      <c r="C4" s="38" t="s">
        <v>866</v>
      </c>
      <c r="D4" s="39">
        <v>2255637</v>
      </c>
      <c r="E4" s="40" t="s">
        <v>55</v>
      </c>
      <c r="F4" s="41" t="s">
        <v>579</v>
      </c>
      <c r="G4" s="42"/>
      <c r="H4" s="42" t="s">
        <v>867</v>
      </c>
      <c r="I4" s="42"/>
      <c r="J4" s="43" t="s">
        <v>868</v>
      </c>
      <c r="K4" s="43"/>
      <c r="L4" s="43" t="s">
        <v>869</v>
      </c>
      <c r="M4" s="44">
        <v>9.99</v>
      </c>
      <c r="N4" s="45">
        <f t="shared" ref="N4:N13" si="0">M4-SUM(AF4+AH4+AK4+AL4+AM4+AN4+AQ4)</f>
        <v>2.32016666666667</v>
      </c>
      <c r="O4" s="46">
        <f t="shared" ref="O4:O13" si="1">N4*U4</f>
        <v>17.40125</v>
      </c>
      <c r="P4" s="47">
        <f t="shared" ref="P4:P13" si="2">N4/M4</f>
        <v>0.232248915582249</v>
      </c>
      <c r="Q4" s="45">
        <f t="shared" ref="Q4:Q13" si="3">M4-SUM(AF4+AJ4+AK4+AL4+AM4+AN4+AO4+AP4+AQ4)</f>
        <v>2.64016666666667</v>
      </c>
      <c r="R4" s="48">
        <f t="shared" ref="R4:R13" si="4">Q4*U4</f>
        <v>19.80125</v>
      </c>
      <c r="S4" s="47">
        <f t="shared" ref="S4:S13" si="5">Q4/M4</f>
        <v>0.264280947614281</v>
      </c>
      <c r="T4" s="49" t="s">
        <v>870</v>
      </c>
      <c r="U4" s="49">
        <v>7.5</v>
      </c>
      <c r="V4" s="50">
        <v>0.2</v>
      </c>
      <c r="W4" s="50">
        <v>0.15</v>
      </c>
      <c r="X4" s="44">
        <v>10</v>
      </c>
      <c r="Y4" s="44">
        <v>15</v>
      </c>
      <c r="Z4" s="44">
        <v>2</v>
      </c>
      <c r="AA4" s="45">
        <f t="shared" ref="AA4:AA13" si="6">(X4*Y4*Z4)/6000</f>
        <v>0.05</v>
      </c>
      <c r="AB4" s="44">
        <v>0.06</v>
      </c>
      <c r="AC4" s="49">
        <v>55</v>
      </c>
      <c r="AD4" s="49">
        <v>15</v>
      </c>
      <c r="AE4" s="44">
        <v>13.6</v>
      </c>
      <c r="AF4" s="48">
        <f t="shared" ref="AF4:AF13" si="7">AE4/U4</f>
        <v>1.81333333333333</v>
      </c>
      <c r="AG4" s="45">
        <f t="shared" ref="AG4:AG13" si="8">AC4*MAX(AA4:AB4)</f>
        <v>3.3</v>
      </c>
      <c r="AH4" s="45">
        <f t="shared" ref="AH4:AH13" si="9">AG4/U4</f>
        <v>0.44</v>
      </c>
      <c r="AI4" s="45">
        <f t="shared" ref="AI4:AI13" si="10">AD4*MAX(AA4:AB4)</f>
        <v>0.9</v>
      </c>
      <c r="AJ4" s="45">
        <f t="shared" ref="AJ4:AJ13" si="11">AI4/U4</f>
        <v>0.12</v>
      </c>
      <c r="AK4" s="48">
        <f t="shared" ref="AK4:AK13" si="12">M4*W4</f>
        <v>1.4985</v>
      </c>
      <c r="AL4" s="44">
        <v>1.92</v>
      </c>
      <c r="AM4" s="45">
        <f t="shared" ref="AM4:AM13" si="13">M4*V4</f>
        <v>1.998</v>
      </c>
      <c r="AN4" s="45">
        <v>0</v>
      </c>
      <c r="AO4" s="49"/>
      <c r="AP4" s="49"/>
      <c r="AQ4" s="45">
        <v>0</v>
      </c>
      <c r="AR4" s="51" t="s">
        <v>871</v>
      </c>
      <c r="AS4" s="52" t="s">
        <v>872</v>
      </c>
      <c r="AT4" s="53">
        <v>8305900000</v>
      </c>
      <c r="AU4" s="53" t="s">
        <v>403</v>
      </c>
      <c r="AV4" s="53" t="s">
        <v>873</v>
      </c>
      <c r="AW4" s="54" t="s">
        <v>874</v>
      </c>
    </row>
    <row r="5" s="3" customFormat="1" ht="79" customHeight="1" spans="1:50">
      <c r="A5" s="36">
        <v>2</v>
      </c>
      <c r="B5" s="37">
        <v>46175</v>
      </c>
      <c r="C5" s="38" t="s">
        <v>875</v>
      </c>
      <c r="D5" s="39">
        <v>2255498</v>
      </c>
      <c r="E5" s="40" t="s">
        <v>55</v>
      </c>
      <c r="F5" s="39"/>
      <c r="G5" s="42"/>
      <c r="H5" s="42" t="s">
        <v>876</v>
      </c>
      <c r="I5" s="42"/>
      <c r="J5" s="43" t="s">
        <v>877</v>
      </c>
      <c r="K5" s="43"/>
      <c r="L5" s="43" t="s">
        <v>878</v>
      </c>
      <c r="M5" s="44">
        <v>6.99</v>
      </c>
      <c r="N5" s="45">
        <f t="shared" si="0"/>
        <v>1.65016666666667</v>
      </c>
      <c r="O5" s="46">
        <f t="shared" si="1"/>
        <v>12.37625</v>
      </c>
      <c r="P5" s="47">
        <f t="shared" si="2"/>
        <v>0.236075345731998</v>
      </c>
      <c r="Q5" s="45">
        <f t="shared" si="3"/>
        <v>1.97016666666667</v>
      </c>
      <c r="R5" s="48">
        <f t="shared" si="4"/>
        <v>14.77625</v>
      </c>
      <c r="S5" s="47">
        <f t="shared" si="5"/>
        <v>0.281855030996662</v>
      </c>
      <c r="T5" s="49" t="s">
        <v>870</v>
      </c>
      <c r="U5" s="49">
        <v>7.5</v>
      </c>
      <c r="V5" s="50">
        <v>0.2</v>
      </c>
      <c r="W5" s="50">
        <v>0.15</v>
      </c>
      <c r="X5" s="44">
        <v>20</v>
      </c>
      <c r="Y5" s="44">
        <v>20</v>
      </c>
      <c r="Z5" s="44">
        <v>0.5</v>
      </c>
      <c r="AA5" s="45">
        <f t="shared" si="6"/>
        <v>0.0333333333333333</v>
      </c>
      <c r="AB5" s="44">
        <v>0.06</v>
      </c>
      <c r="AC5" s="49">
        <v>55</v>
      </c>
      <c r="AD5" s="49">
        <v>15</v>
      </c>
      <c r="AE5" s="44">
        <v>4</v>
      </c>
      <c r="AF5" s="48">
        <f t="shared" si="7"/>
        <v>0.533333333333333</v>
      </c>
      <c r="AG5" s="45">
        <f t="shared" si="8"/>
        <v>3.3</v>
      </c>
      <c r="AH5" s="45">
        <f t="shared" si="9"/>
        <v>0.44</v>
      </c>
      <c r="AI5" s="45">
        <f t="shared" si="10"/>
        <v>0.9</v>
      </c>
      <c r="AJ5" s="45">
        <f t="shared" si="11"/>
        <v>0.12</v>
      </c>
      <c r="AK5" s="48">
        <f t="shared" si="12"/>
        <v>1.0485</v>
      </c>
      <c r="AL5" s="44">
        <v>1.92</v>
      </c>
      <c r="AM5" s="45">
        <f t="shared" si="13"/>
        <v>1.398</v>
      </c>
      <c r="AN5" s="45">
        <v>0</v>
      </c>
      <c r="AO5" s="49"/>
      <c r="AP5" s="49"/>
      <c r="AQ5" s="45">
        <v>0</v>
      </c>
      <c r="AR5" s="51" t="s">
        <v>62</v>
      </c>
      <c r="AS5" s="52" t="s">
        <v>63</v>
      </c>
      <c r="AT5" s="53">
        <v>3926909790</v>
      </c>
      <c r="AU5" s="53" t="s">
        <v>64</v>
      </c>
      <c r="AV5" s="53" t="s">
        <v>65</v>
      </c>
      <c r="AW5" s="54" t="s">
        <v>66</v>
      </c>
      <c r="AX5" s="3" t="s">
        <v>67</v>
      </c>
    </row>
    <row r="6" s="3" customFormat="1" ht="79" customHeight="1" spans="1:50">
      <c r="A6" s="36">
        <v>3</v>
      </c>
      <c r="B6" s="37">
        <v>46175</v>
      </c>
      <c r="C6" s="38" t="s">
        <v>879</v>
      </c>
      <c r="D6" s="39">
        <v>2255319</v>
      </c>
      <c r="E6" s="40" t="s">
        <v>55</v>
      </c>
      <c r="F6" s="41" t="s">
        <v>579</v>
      </c>
      <c r="G6" s="42"/>
      <c r="H6" s="42" t="s">
        <v>876</v>
      </c>
      <c r="I6" s="42"/>
      <c r="J6" s="43" t="s">
        <v>877</v>
      </c>
      <c r="K6" s="43"/>
      <c r="L6" s="43" t="s">
        <v>878</v>
      </c>
      <c r="M6" s="44">
        <v>6.99</v>
      </c>
      <c r="N6" s="45">
        <f t="shared" si="0"/>
        <v>1.65016666666667</v>
      </c>
      <c r="O6" s="46">
        <f t="shared" si="1"/>
        <v>12.37625</v>
      </c>
      <c r="P6" s="47">
        <f t="shared" si="2"/>
        <v>0.236075345731998</v>
      </c>
      <c r="Q6" s="45">
        <f t="shared" si="3"/>
        <v>1.97016666666667</v>
      </c>
      <c r="R6" s="48">
        <f t="shared" si="4"/>
        <v>14.77625</v>
      </c>
      <c r="S6" s="47">
        <f t="shared" si="5"/>
        <v>0.281855030996662</v>
      </c>
      <c r="T6" s="49" t="s">
        <v>870</v>
      </c>
      <c r="U6" s="49">
        <v>7.5</v>
      </c>
      <c r="V6" s="50">
        <v>0.2</v>
      </c>
      <c r="W6" s="50">
        <v>0.15</v>
      </c>
      <c r="X6" s="44">
        <v>20</v>
      </c>
      <c r="Y6" s="44">
        <v>20</v>
      </c>
      <c r="Z6" s="44">
        <v>0.5</v>
      </c>
      <c r="AA6" s="45">
        <f t="shared" si="6"/>
        <v>0.0333333333333333</v>
      </c>
      <c r="AB6" s="44">
        <v>0.06</v>
      </c>
      <c r="AC6" s="49">
        <v>55</v>
      </c>
      <c r="AD6" s="49">
        <v>15</v>
      </c>
      <c r="AE6" s="44">
        <v>4</v>
      </c>
      <c r="AF6" s="48">
        <f t="shared" si="7"/>
        <v>0.533333333333333</v>
      </c>
      <c r="AG6" s="45">
        <f t="shared" si="8"/>
        <v>3.3</v>
      </c>
      <c r="AH6" s="45">
        <f t="shared" si="9"/>
        <v>0.44</v>
      </c>
      <c r="AI6" s="45">
        <f t="shared" si="10"/>
        <v>0.9</v>
      </c>
      <c r="AJ6" s="45">
        <f t="shared" si="11"/>
        <v>0.12</v>
      </c>
      <c r="AK6" s="48">
        <f t="shared" si="12"/>
        <v>1.0485</v>
      </c>
      <c r="AL6" s="44">
        <v>1.92</v>
      </c>
      <c r="AM6" s="45">
        <f t="shared" si="13"/>
        <v>1.398</v>
      </c>
      <c r="AN6" s="45">
        <v>0</v>
      </c>
      <c r="AO6" s="49"/>
      <c r="AP6" s="49"/>
      <c r="AQ6" s="45">
        <v>0</v>
      </c>
      <c r="AR6" s="51" t="s">
        <v>880</v>
      </c>
      <c r="AS6" s="52" t="s">
        <v>63</v>
      </c>
      <c r="AT6" s="53">
        <v>3926100000</v>
      </c>
      <c r="AU6" s="53" t="s">
        <v>64</v>
      </c>
      <c r="AV6" s="53" t="s">
        <v>241</v>
      </c>
      <c r="AW6" s="54" t="s">
        <v>242</v>
      </c>
      <c r="AX6" s="3" t="s">
        <v>67</v>
      </c>
    </row>
    <row r="7" s="3" customFormat="1" ht="79" customHeight="1" spans="1:50">
      <c r="A7" s="36">
        <v>4</v>
      </c>
      <c r="B7" s="37">
        <v>46175</v>
      </c>
      <c r="C7" s="38" t="s">
        <v>881</v>
      </c>
      <c r="D7" s="39">
        <v>2255500</v>
      </c>
      <c r="E7" s="40" t="s">
        <v>55</v>
      </c>
      <c r="F7" s="41" t="s">
        <v>579</v>
      </c>
      <c r="G7" s="42"/>
      <c r="H7" s="42" t="s">
        <v>876</v>
      </c>
      <c r="I7" s="42"/>
      <c r="J7" s="43" t="s">
        <v>882</v>
      </c>
      <c r="K7" s="43"/>
      <c r="L7" s="43" t="s">
        <v>883</v>
      </c>
      <c r="M7" s="44">
        <v>6.99</v>
      </c>
      <c r="N7" s="45">
        <f t="shared" si="0"/>
        <v>1.5835</v>
      </c>
      <c r="O7" s="46">
        <f t="shared" si="1"/>
        <v>11.87625</v>
      </c>
      <c r="P7" s="47">
        <f t="shared" si="2"/>
        <v>0.22653791130186</v>
      </c>
      <c r="Q7" s="45">
        <f t="shared" si="3"/>
        <v>1.9035</v>
      </c>
      <c r="R7" s="48">
        <f t="shared" si="4"/>
        <v>14.27625</v>
      </c>
      <c r="S7" s="47">
        <f t="shared" si="5"/>
        <v>0.272317596566524</v>
      </c>
      <c r="T7" s="49" t="s">
        <v>870</v>
      </c>
      <c r="U7" s="49">
        <v>7.5</v>
      </c>
      <c r="V7" s="50">
        <v>0.2</v>
      </c>
      <c r="W7" s="50">
        <v>0.15</v>
      </c>
      <c r="X7" s="44">
        <v>20</v>
      </c>
      <c r="Y7" s="44">
        <v>20</v>
      </c>
      <c r="Z7" s="44">
        <v>0.5</v>
      </c>
      <c r="AA7" s="45">
        <f t="shared" si="6"/>
        <v>0.0333333333333333</v>
      </c>
      <c r="AB7" s="44">
        <v>0.06</v>
      </c>
      <c r="AC7" s="49">
        <v>55</v>
      </c>
      <c r="AD7" s="49">
        <v>15</v>
      </c>
      <c r="AE7" s="44">
        <v>4.5</v>
      </c>
      <c r="AF7" s="48">
        <f t="shared" si="7"/>
        <v>0.6</v>
      </c>
      <c r="AG7" s="45">
        <f t="shared" si="8"/>
        <v>3.3</v>
      </c>
      <c r="AH7" s="45">
        <f t="shared" si="9"/>
        <v>0.44</v>
      </c>
      <c r="AI7" s="45">
        <f t="shared" si="10"/>
        <v>0.9</v>
      </c>
      <c r="AJ7" s="45">
        <f t="shared" si="11"/>
        <v>0.12</v>
      </c>
      <c r="AK7" s="48">
        <f t="shared" si="12"/>
        <v>1.0485</v>
      </c>
      <c r="AL7" s="44">
        <v>1.92</v>
      </c>
      <c r="AM7" s="45">
        <f t="shared" si="13"/>
        <v>1.398</v>
      </c>
      <c r="AN7" s="45">
        <v>0</v>
      </c>
      <c r="AO7" s="49"/>
      <c r="AP7" s="49"/>
      <c r="AQ7" s="45">
        <v>0</v>
      </c>
      <c r="AR7" s="51" t="s">
        <v>62</v>
      </c>
      <c r="AS7" s="52" t="s">
        <v>63</v>
      </c>
      <c r="AT7" s="53">
        <v>3926909790</v>
      </c>
      <c r="AU7" s="53" t="s">
        <v>64</v>
      </c>
      <c r="AV7" s="53" t="s">
        <v>65</v>
      </c>
      <c r="AW7" s="54" t="s">
        <v>66</v>
      </c>
      <c r="AX7" s="3" t="s">
        <v>67</v>
      </c>
    </row>
    <row r="8" s="3" customFormat="1" ht="79" customHeight="1" spans="1:50">
      <c r="A8" s="36">
        <v>5</v>
      </c>
      <c r="B8" s="37">
        <v>46175</v>
      </c>
      <c r="C8" s="38" t="s">
        <v>884</v>
      </c>
      <c r="D8" s="39">
        <v>2255306</v>
      </c>
      <c r="E8" s="40" t="s">
        <v>55</v>
      </c>
      <c r="F8" s="41" t="s">
        <v>579</v>
      </c>
      <c r="G8" s="42"/>
      <c r="H8" s="42" t="s">
        <v>876</v>
      </c>
      <c r="I8" s="42"/>
      <c r="J8" s="43" t="s">
        <v>885</v>
      </c>
      <c r="K8" s="43" t="s">
        <v>886</v>
      </c>
      <c r="L8" s="43" t="s">
        <v>887</v>
      </c>
      <c r="M8" s="44">
        <v>6.99</v>
      </c>
      <c r="N8" s="45">
        <f t="shared" si="0"/>
        <v>1.60127777777778</v>
      </c>
      <c r="O8" s="46">
        <f t="shared" si="1"/>
        <v>12.0095833333333</v>
      </c>
      <c r="P8" s="47">
        <f t="shared" si="2"/>
        <v>0.229081227149897</v>
      </c>
      <c r="Q8" s="45">
        <f t="shared" si="3"/>
        <v>1.95683333333333</v>
      </c>
      <c r="R8" s="48">
        <f t="shared" si="4"/>
        <v>14.67625</v>
      </c>
      <c r="S8" s="47">
        <f t="shared" si="5"/>
        <v>0.279947544110634</v>
      </c>
      <c r="T8" s="49" t="s">
        <v>870</v>
      </c>
      <c r="U8" s="49">
        <v>7.5</v>
      </c>
      <c r="V8" s="50">
        <v>0.2</v>
      </c>
      <c r="W8" s="50">
        <v>0.15</v>
      </c>
      <c r="X8" s="44">
        <v>20</v>
      </c>
      <c r="Y8" s="44">
        <v>20</v>
      </c>
      <c r="Z8" s="44">
        <v>1</v>
      </c>
      <c r="AA8" s="45">
        <f t="shared" si="6"/>
        <v>0.0666666666666667</v>
      </c>
      <c r="AB8" s="44">
        <v>0.06</v>
      </c>
      <c r="AC8" s="49">
        <v>55</v>
      </c>
      <c r="AD8" s="49">
        <v>15</v>
      </c>
      <c r="AE8" s="44">
        <v>4</v>
      </c>
      <c r="AF8" s="48">
        <f t="shared" si="7"/>
        <v>0.533333333333333</v>
      </c>
      <c r="AG8" s="45">
        <f t="shared" si="8"/>
        <v>3.66666666666667</v>
      </c>
      <c r="AH8" s="45">
        <f t="shared" si="9"/>
        <v>0.488888888888889</v>
      </c>
      <c r="AI8" s="45">
        <f t="shared" si="10"/>
        <v>1</v>
      </c>
      <c r="AJ8" s="45">
        <f t="shared" si="11"/>
        <v>0.133333333333333</v>
      </c>
      <c r="AK8" s="48">
        <f t="shared" si="12"/>
        <v>1.0485</v>
      </c>
      <c r="AL8" s="44">
        <v>1.92</v>
      </c>
      <c r="AM8" s="45">
        <f t="shared" si="13"/>
        <v>1.398</v>
      </c>
      <c r="AN8" s="45">
        <v>0</v>
      </c>
      <c r="AO8" s="49"/>
      <c r="AP8" s="49"/>
      <c r="AQ8" s="45">
        <v>0</v>
      </c>
      <c r="AR8" s="51" t="s">
        <v>888</v>
      </c>
      <c r="AS8" s="52" t="s">
        <v>889</v>
      </c>
      <c r="AT8" s="53">
        <v>3926909790</v>
      </c>
      <c r="AU8" s="53" t="s">
        <v>64</v>
      </c>
      <c r="AV8" s="53" t="s">
        <v>65</v>
      </c>
      <c r="AW8" s="54" t="s">
        <v>66</v>
      </c>
      <c r="AX8" s="3" t="s">
        <v>67</v>
      </c>
    </row>
    <row r="9" s="3" customFormat="1" ht="79" customHeight="1" spans="1:50">
      <c r="A9" s="36">
        <v>6</v>
      </c>
      <c r="B9" s="37">
        <v>46175</v>
      </c>
      <c r="C9" s="38" t="s">
        <v>890</v>
      </c>
      <c r="D9" s="39">
        <v>2255304</v>
      </c>
      <c r="E9" s="40" t="s">
        <v>55</v>
      </c>
      <c r="F9" s="41" t="s">
        <v>579</v>
      </c>
      <c r="G9" s="42"/>
      <c r="H9" s="42" t="s">
        <v>876</v>
      </c>
      <c r="I9" s="42"/>
      <c r="J9" s="43" t="s">
        <v>891</v>
      </c>
      <c r="K9" s="43" t="s">
        <v>892</v>
      </c>
      <c r="L9" s="43" t="s">
        <v>893</v>
      </c>
      <c r="M9" s="44">
        <v>6.99</v>
      </c>
      <c r="N9" s="45">
        <f t="shared" si="0"/>
        <v>1.65016666666667</v>
      </c>
      <c r="O9" s="46">
        <f t="shared" si="1"/>
        <v>12.37625</v>
      </c>
      <c r="P9" s="47">
        <f t="shared" si="2"/>
        <v>0.236075345731998</v>
      </c>
      <c r="Q9" s="45">
        <f t="shared" si="3"/>
        <v>1.97016666666667</v>
      </c>
      <c r="R9" s="48">
        <f t="shared" si="4"/>
        <v>14.77625</v>
      </c>
      <c r="S9" s="47">
        <f t="shared" si="5"/>
        <v>0.281855030996662</v>
      </c>
      <c r="T9" s="49" t="s">
        <v>870</v>
      </c>
      <c r="U9" s="49">
        <v>7.5</v>
      </c>
      <c r="V9" s="50">
        <v>0.2</v>
      </c>
      <c r="W9" s="50">
        <v>0.15</v>
      </c>
      <c r="X9" s="44">
        <v>20</v>
      </c>
      <c r="Y9" s="44">
        <v>20</v>
      </c>
      <c r="Z9" s="44">
        <v>0.5</v>
      </c>
      <c r="AA9" s="45">
        <f t="shared" si="6"/>
        <v>0.0333333333333333</v>
      </c>
      <c r="AB9" s="44">
        <v>0.06</v>
      </c>
      <c r="AC9" s="49">
        <v>55</v>
      </c>
      <c r="AD9" s="49">
        <v>15</v>
      </c>
      <c r="AE9" s="44">
        <v>4</v>
      </c>
      <c r="AF9" s="48">
        <f t="shared" si="7"/>
        <v>0.533333333333333</v>
      </c>
      <c r="AG9" s="45">
        <f t="shared" si="8"/>
        <v>3.3</v>
      </c>
      <c r="AH9" s="45">
        <f t="shared" si="9"/>
        <v>0.44</v>
      </c>
      <c r="AI9" s="45">
        <f t="shared" si="10"/>
        <v>0.9</v>
      </c>
      <c r="AJ9" s="45">
        <f t="shared" si="11"/>
        <v>0.12</v>
      </c>
      <c r="AK9" s="48">
        <f t="shared" si="12"/>
        <v>1.0485</v>
      </c>
      <c r="AL9" s="44">
        <v>1.92</v>
      </c>
      <c r="AM9" s="45">
        <f t="shared" si="13"/>
        <v>1.398</v>
      </c>
      <c r="AN9" s="45">
        <v>0</v>
      </c>
      <c r="AO9" s="49"/>
      <c r="AP9" s="49"/>
      <c r="AQ9" s="45">
        <v>0</v>
      </c>
      <c r="AR9" s="51" t="s">
        <v>62</v>
      </c>
      <c r="AS9" s="52" t="s">
        <v>63</v>
      </c>
      <c r="AT9" s="53">
        <v>3926100000</v>
      </c>
      <c r="AU9" s="53" t="s">
        <v>64</v>
      </c>
      <c r="AV9" s="53" t="s">
        <v>241</v>
      </c>
      <c r="AW9" s="54" t="s">
        <v>242</v>
      </c>
      <c r="AX9" s="3" t="s">
        <v>67</v>
      </c>
    </row>
    <row r="10" s="3" customFormat="1" ht="79" customHeight="1" spans="1:50">
      <c r="A10" s="36">
        <v>7</v>
      </c>
      <c r="B10" s="37">
        <v>46175</v>
      </c>
      <c r="C10" s="38" t="s">
        <v>894</v>
      </c>
      <c r="D10" s="39">
        <v>2255390</v>
      </c>
      <c r="E10" s="40" t="s">
        <v>55</v>
      </c>
      <c r="F10" s="39"/>
      <c r="G10" s="42"/>
      <c r="H10" s="42" t="s">
        <v>876</v>
      </c>
      <c r="I10" s="42"/>
      <c r="J10" s="43" t="s">
        <v>895</v>
      </c>
      <c r="K10" s="43" t="s">
        <v>896</v>
      </c>
      <c r="L10" s="43" t="s">
        <v>897</v>
      </c>
      <c r="M10" s="44">
        <v>6.99</v>
      </c>
      <c r="N10" s="45">
        <f t="shared" si="0"/>
        <v>1.65016666666667</v>
      </c>
      <c r="O10" s="46">
        <f t="shared" si="1"/>
        <v>12.37625</v>
      </c>
      <c r="P10" s="47">
        <f t="shared" si="2"/>
        <v>0.236075345731998</v>
      </c>
      <c r="Q10" s="45">
        <f t="shared" si="3"/>
        <v>1.97016666666667</v>
      </c>
      <c r="R10" s="48">
        <f t="shared" si="4"/>
        <v>14.77625</v>
      </c>
      <c r="S10" s="47">
        <f t="shared" si="5"/>
        <v>0.281855030996662</v>
      </c>
      <c r="T10" s="49" t="s">
        <v>870</v>
      </c>
      <c r="U10" s="49">
        <v>7.5</v>
      </c>
      <c r="V10" s="50">
        <v>0.2</v>
      </c>
      <c r="W10" s="50">
        <v>0.15</v>
      </c>
      <c r="X10" s="44">
        <v>20</v>
      </c>
      <c r="Y10" s="44">
        <v>20</v>
      </c>
      <c r="Z10" s="44">
        <v>0.5</v>
      </c>
      <c r="AA10" s="45">
        <f t="shared" si="6"/>
        <v>0.0333333333333333</v>
      </c>
      <c r="AB10" s="44">
        <v>0.06</v>
      </c>
      <c r="AC10" s="49">
        <v>55</v>
      </c>
      <c r="AD10" s="49">
        <v>15</v>
      </c>
      <c r="AE10" s="44">
        <v>4</v>
      </c>
      <c r="AF10" s="48">
        <f t="shared" si="7"/>
        <v>0.533333333333333</v>
      </c>
      <c r="AG10" s="45">
        <f t="shared" si="8"/>
        <v>3.3</v>
      </c>
      <c r="AH10" s="45">
        <f t="shared" si="9"/>
        <v>0.44</v>
      </c>
      <c r="AI10" s="45">
        <f t="shared" si="10"/>
        <v>0.9</v>
      </c>
      <c r="AJ10" s="45">
        <f t="shared" si="11"/>
        <v>0.12</v>
      </c>
      <c r="AK10" s="48">
        <f t="shared" si="12"/>
        <v>1.0485</v>
      </c>
      <c r="AL10" s="44">
        <v>1.92</v>
      </c>
      <c r="AM10" s="45">
        <f t="shared" si="13"/>
        <v>1.398</v>
      </c>
      <c r="AN10" s="45">
        <v>0</v>
      </c>
      <c r="AO10" s="49"/>
      <c r="AP10" s="49"/>
      <c r="AQ10" s="45">
        <v>0</v>
      </c>
      <c r="AR10" s="51" t="s">
        <v>62</v>
      </c>
      <c r="AS10" s="52" t="s">
        <v>63</v>
      </c>
      <c r="AT10" s="53">
        <v>3926100000</v>
      </c>
      <c r="AU10" s="53" t="s">
        <v>64</v>
      </c>
      <c r="AV10" s="53" t="s">
        <v>241</v>
      </c>
      <c r="AW10" s="54" t="s">
        <v>242</v>
      </c>
      <c r="AX10" s="3" t="s">
        <v>67</v>
      </c>
    </row>
    <row r="11" s="4" customFormat="1" ht="79" customHeight="1" spans="1:50">
      <c r="A11" s="36">
        <v>8</v>
      </c>
      <c r="B11" s="37">
        <v>46175</v>
      </c>
      <c r="C11" s="38" t="s">
        <v>898</v>
      </c>
      <c r="D11" s="39">
        <v>2255646</v>
      </c>
      <c r="E11" s="40" t="s">
        <v>55</v>
      </c>
      <c r="F11" s="55"/>
      <c r="G11" s="56"/>
      <c r="H11" s="57"/>
      <c r="I11" s="57"/>
      <c r="J11" s="51" t="s">
        <v>899</v>
      </c>
      <c r="K11" s="51"/>
      <c r="L11" s="51" t="s">
        <v>900</v>
      </c>
      <c r="M11" s="44">
        <v>6.99</v>
      </c>
      <c r="N11" s="45">
        <f t="shared" si="0"/>
        <v>1.65016666666667</v>
      </c>
      <c r="O11" s="46">
        <f t="shared" si="1"/>
        <v>12.37625</v>
      </c>
      <c r="P11" s="47">
        <f t="shared" si="2"/>
        <v>0.236075345731998</v>
      </c>
      <c r="Q11" s="45">
        <f t="shared" si="3"/>
        <v>1.97016666666667</v>
      </c>
      <c r="R11" s="48">
        <f t="shared" si="4"/>
        <v>14.77625</v>
      </c>
      <c r="S11" s="47">
        <f t="shared" si="5"/>
        <v>0.281855030996662</v>
      </c>
      <c r="T11" s="49" t="s">
        <v>870</v>
      </c>
      <c r="U11" s="49">
        <v>7.5</v>
      </c>
      <c r="V11" s="50">
        <v>0.2</v>
      </c>
      <c r="W11" s="50">
        <v>0.15</v>
      </c>
      <c r="X11" s="44">
        <v>20</v>
      </c>
      <c r="Y11" s="44">
        <v>20</v>
      </c>
      <c r="Z11" s="44">
        <v>0.5</v>
      </c>
      <c r="AA11" s="45">
        <f t="shared" si="6"/>
        <v>0.0333333333333333</v>
      </c>
      <c r="AB11" s="44">
        <v>0.06</v>
      </c>
      <c r="AC11" s="49">
        <v>55</v>
      </c>
      <c r="AD11" s="49">
        <v>15</v>
      </c>
      <c r="AE11" s="44">
        <v>4</v>
      </c>
      <c r="AF11" s="48">
        <f t="shared" si="7"/>
        <v>0.533333333333333</v>
      </c>
      <c r="AG11" s="45">
        <f t="shared" si="8"/>
        <v>3.3</v>
      </c>
      <c r="AH11" s="45">
        <f t="shared" si="9"/>
        <v>0.44</v>
      </c>
      <c r="AI11" s="45">
        <f t="shared" si="10"/>
        <v>0.9</v>
      </c>
      <c r="AJ11" s="45">
        <f t="shared" si="11"/>
        <v>0.12</v>
      </c>
      <c r="AK11" s="48">
        <f t="shared" si="12"/>
        <v>1.0485</v>
      </c>
      <c r="AL11" s="44">
        <v>1.92</v>
      </c>
      <c r="AM11" s="45">
        <f t="shared" si="13"/>
        <v>1.398</v>
      </c>
      <c r="AN11" s="45">
        <v>0</v>
      </c>
      <c r="AO11" s="49"/>
      <c r="AP11" s="49"/>
      <c r="AQ11" s="45">
        <v>0</v>
      </c>
      <c r="AR11" s="51" t="s">
        <v>62</v>
      </c>
      <c r="AS11" s="52" t="s">
        <v>63</v>
      </c>
      <c r="AT11" s="53">
        <v>3926100000</v>
      </c>
      <c r="AU11" s="53" t="s">
        <v>64</v>
      </c>
      <c r="AV11" s="53" t="s">
        <v>241</v>
      </c>
      <c r="AW11" s="54" t="s">
        <v>242</v>
      </c>
      <c r="AX11" s="3" t="s">
        <v>67</v>
      </c>
    </row>
    <row r="12" s="3" customFormat="1" ht="79" customHeight="1" spans="1:50">
      <c r="A12" s="36">
        <v>9</v>
      </c>
      <c r="B12" s="37">
        <v>46175</v>
      </c>
      <c r="C12" s="38" t="s">
        <v>901</v>
      </c>
      <c r="D12" s="39">
        <v>2255080</v>
      </c>
      <c r="E12" s="40" t="s">
        <v>55</v>
      </c>
      <c r="F12" s="58" t="s">
        <v>579</v>
      </c>
      <c r="G12" s="42"/>
      <c r="H12" s="42" t="s">
        <v>902</v>
      </c>
      <c r="I12" s="42"/>
      <c r="J12" s="43" t="s">
        <v>903</v>
      </c>
      <c r="K12" s="43" t="s">
        <v>904</v>
      </c>
      <c r="L12" s="43" t="s">
        <v>905</v>
      </c>
      <c r="M12" s="44">
        <v>17.99</v>
      </c>
      <c r="N12" s="45">
        <f t="shared" si="0"/>
        <v>3.40683333333333</v>
      </c>
      <c r="O12" s="46">
        <f t="shared" si="1"/>
        <v>25.55125</v>
      </c>
      <c r="P12" s="47">
        <f t="shared" si="2"/>
        <v>0.189373726144154</v>
      </c>
      <c r="Q12" s="45">
        <f t="shared" si="3"/>
        <v>5.00683333333333</v>
      </c>
      <c r="R12" s="48">
        <f t="shared" si="4"/>
        <v>37.55125</v>
      </c>
      <c r="S12" s="47">
        <f t="shared" si="5"/>
        <v>0.278312025199185</v>
      </c>
      <c r="T12" s="49" t="s">
        <v>870</v>
      </c>
      <c r="U12" s="49">
        <v>7.5</v>
      </c>
      <c r="V12" s="50">
        <v>0.2</v>
      </c>
      <c r="W12" s="50">
        <v>0.15</v>
      </c>
      <c r="X12" s="44">
        <v>19</v>
      </c>
      <c r="Y12" s="44">
        <v>18</v>
      </c>
      <c r="Z12" s="44">
        <v>5</v>
      </c>
      <c r="AA12" s="45">
        <f t="shared" si="6"/>
        <v>0.285</v>
      </c>
      <c r="AB12" s="44">
        <v>0.3</v>
      </c>
      <c r="AC12" s="49">
        <v>55</v>
      </c>
      <c r="AD12" s="49">
        <v>15</v>
      </c>
      <c r="AE12" s="44">
        <v>20</v>
      </c>
      <c r="AF12" s="48">
        <f t="shared" si="7"/>
        <v>2.66666666666667</v>
      </c>
      <c r="AG12" s="45">
        <f t="shared" si="8"/>
        <v>16.5</v>
      </c>
      <c r="AH12" s="45">
        <f t="shared" si="9"/>
        <v>2.2</v>
      </c>
      <c r="AI12" s="45">
        <f t="shared" si="10"/>
        <v>4.5</v>
      </c>
      <c r="AJ12" s="45">
        <f t="shared" si="11"/>
        <v>0.6</v>
      </c>
      <c r="AK12" s="48">
        <f t="shared" si="12"/>
        <v>2.6985</v>
      </c>
      <c r="AL12" s="44">
        <v>3.42</v>
      </c>
      <c r="AM12" s="45">
        <f t="shared" si="13"/>
        <v>3.598</v>
      </c>
      <c r="AN12" s="45">
        <v>0</v>
      </c>
      <c r="AO12" s="49"/>
      <c r="AP12" s="49"/>
      <c r="AQ12" s="45">
        <v>0</v>
      </c>
      <c r="AR12" s="51" t="s">
        <v>906</v>
      </c>
      <c r="AS12" s="52" t="s">
        <v>907</v>
      </c>
      <c r="AT12" s="53">
        <v>3921190050</v>
      </c>
      <c r="AU12" s="53" t="s">
        <v>256</v>
      </c>
      <c r="AV12" s="53" t="s">
        <v>908</v>
      </c>
      <c r="AW12" s="54" t="s">
        <v>909</v>
      </c>
      <c r="AX12" s="3" t="s">
        <v>910</v>
      </c>
    </row>
    <row r="13" s="3" customFormat="1" ht="79" customHeight="1" spans="1:50">
      <c r="A13" s="36">
        <v>10</v>
      </c>
      <c r="B13" s="37">
        <v>46175</v>
      </c>
      <c r="C13" s="38" t="s">
        <v>911</v>
      </c>
      <c r="D13" s="39">
        <v>2255883</v>
      </c>
      <c r="E13" s="40" t="s">
        <v>55</v>
      </c>
      <c r="F13" s="58" t="s">
        <v>579</v>
      </c>
      <c r="G13" s="42"/>
      <c r="H13" s="42" t="s">
        <v>912</v>
      </c>
      <c r="I13" s="42"/>
      <c r="J13" s="43" t="s">
        <v>895</v>
      </c>
      <c r="K13" s="42"/>
      <c r="L13" s="43" t="s">
        <v>913</v>
      </c>
      <c r="M13" s="44">
        <v>6.99</v>
      </c>
      <c r="N13" s="45">
        <f t="shared" si="0"/>
        <v>1.65016666666667</v>
      </c>
      <c r="O13" s="46">
        <f t="shared" si="1"/>
        <v>12.37625</v>
      </c>
      <c r="P13" s="47">
        <f t="shared" si="2"/>
        <v>0.236075345731998</v>
      </c>
      <c r="Q13" s="45">
        <f t="shared" si="3"/>
        <v>1.97016666666667</v>
      </c>
      <c r="R13" s="48">
        <f t="shared" si="4"/>
        <v>14.77625</v>
      </c>
      <c r="S13" s="47">
        <f t="shared" si="5"/>
        <v>0.281855030996662</v>
      </c>
      <c r="T13" s="49" t="s">
        <v>870</v>
      </c>
      <c r="U13" s="49">
        <v>7.5</v>
      </c>
      <c r="V13" s="50">
        <v>0.2</v>
      </c>
      <c r="W13" s="50">
        <v>0.15</v>
      </c>
      <c r="X13" s="44">
        <v>20</v>
      </c>
      <c r="Y13" s="44">
        <v>20</v>
      </c>
      <c r="Z13" s="44">
        <v>0.5</v>
      </c>
      <c r="AA13" s="45">
        <f t="shared" si="6"/>
        <v>0.0333333333333333</v>
      </c>
      <c r="AB13" s="44">
        <v>0.06</v>
      </c>
      <c r="AC13" s="49">
        <v>55</v>
      </c>
      <c r="AD13" s="49">
        <v>15</v>
      </c>
      <c r="AE13" s="44">
        <v>4</v>
      </c>
      <c r="AF13" s="48">
        <f t="shared" si="7"/>
        <v>0.533333333333333</v>
      </c>
      <c r="AG13" s="45">
        <f t="shared" si="8"/>
        <v>3.3</v>
      </c>
      <c r="AH13" s="45">
        <f t="shared" si="9"/>
        <v>0.44</v>
      </c>
      <c r="AI13" s="45">
        <f t="shared" si="10"/>
        <v>0.9</v>
      </c>
      <c r="AJ13" s="45">
        <f t="shared" si="11"/>
        <v>0.12</v>
      </c>
      <c r="AK13" s="48">
        <f t="shared" si="12"/>
        <v>1.0485</v>
      </c>
      <c r="AL13" s="44">
        <v>1.92</v>
      </c>
      <c r="AM13" s="45">
        <f t="shared" si="13"/>
        <v>1.398</v>
      </c>
      <c r="AN13" s="45">
        <v>0</v>
      </c>
      <c r="AO13" s="49"/>
      <c r="AP13" s="49"/>
      <c r="AQ13" s="45">
        <v>0</v>
      </c>
      <c r="AR13" s="51" t="s">
        <v>62</v>
      </c>
      <c r="AS13" s="52" t="s">
        <v>63</v>
      </c>
      <c r="AT13" s="53">
        <v>3926100000</v>
      </c>
      <c r="AU13" s="53" t="s">
        <v>64</v>
      </c>
      <c r="AV13" s="53" t="s">
        <v>241</v>
      </c>
      <c r="AW13" s="54" t="s">
        <v>242</v>
      </c>
      <c r="AX13" s="3" t="s">
        <v>67</v>
      </c>
    </row>
    <row r="14" s="3" customFormat="1" ht="79" customHeight="1" spans="1:50">
      <c r="A14" s="36">
        <v>11</v>
      </c>
      <c r="B14" s="37">
        <v>46175</v>
      </c>
      <c r="C14" s="38" t="s">
        <v>914</v>
      </c>
      <c r="D14" s="39">
        <v>2630346</v>
      </c>
      <c r="E14" s="40" t="s">
        <v>248</v>
      </c>
      <c r="F14" s="58" t="s">
        <v>579</v>
      </c>
      <c r="G14" s="42"/>
      <c r="H14" s="42" t="s">
        <v>915</v>
      </c>
      <c r="I14" s="42"/>
      <c r="J14" s="43" t="s">
        <v>916</v>
      </c>
      <c r="K14" s="42" t="s">
        <v>419</v>
      </c>
      <c r="L14" s="43"/>
      <c r="M14" s="44">
        <v>6.99</v>
      </c>
      <c r="N14" s="45">
        <f t="shared" ref="N14:N17" si="14">M14-SUM(AF14+AH14+AK14+AL14+AM14+AN14+AQ14)</f>
        <v>1.90316666666667</v>
      </c>
      <c r="O14" s="46">
        <f t="shared" ref="O14:O17" si="15">N14*U14</f>
        <v>14.27375</v>
      </c>
      <c r="P14" s="47">
        <f t="shared" ref="P14:P17" si="16">N14/M14</f>
        <v>0.272269909394373</v>
      </c>
      <c r="Q14" s="45">
        <f t="shared" ref="Q14:Q17" si="17">M14-SUM(AF14+AJ14+AK14+AL14+AM14+AN14+AO14+AP14+AQ14)</f>
        <v>2.16983333333333</v>
      </c>
      <c r="R14" s="48">
        <f t="shared" ref="R14:R17" si="18">Q14*U14</f>
        <v>16.27375</v>
      </c>
      <c r="S14" s="47">
        <f t="shared" ref="S14:S17" si="19">Q14/M14</f>
        <v>0.310419647114926</v>
      </c>
      <c r="T14" s="49" t="s">
        <v>870</v>
      </c>
      <c r="U14" s="49">
        <v>7.5</v>
      </c>
      <c r="V14" s="50">
        <v>0.2</v>
      </c>
      <c r="W14" s="50">
        <v>0.15</v>
      </c>
      <c r="X14" s="44">
        <v>10</v>
      </c>
      <c r="Y14" s="44">
        <v>12</v>
      </c>
      <c r="Z14" s="44">
        <v>2.5</v>
      </c>
      <c r="AA14" s="45">
        <f t="shared" ref="AA14:AA17" si="20">X14*Y14*Z14/6000</f>
        <v>0.05</v>
      </c>
      <c r="AB14" s="44">
        <v>0.05</v>
      </c>
      <c r="AC14" s="49">
        <v>55</v>
      </c>
      <c r="AD14" s="49">
        <v>15</v>
      </c>
      <c r="AE14" s="44">
        <v>4.4</v>
      </c>
      <c r="AF14" s="48">
        <f t="shared" ref="AF14:AF17" si="21">AE14/U14</f>
        <v>0.586666666666667</v>
      </c>
      <c r="AG14" s="45">
        <f t="shared" ref="AG14:AG17" si="22">AC14*MAX(AA14:AB14)</f>
        <v>2.75</v>
      </c>
      <c r="AH14" s="45">
        <f t="shared" ref="AH14:AH17" si="23">AG14/U14</f>
        <v>0.366666666666667</v>
      </c>
      <c r="AI14" s="45">
        <f t="shared" ref="AI14:AI17" si="24">AD14*MAX(AA14:AB14)</f>
        <v>0.75</v>
      </c>
      <c r="AJ14" s="45">
        <f t="shared" ref="AJ14:AJ17" si="25">AI14/U14</f>
        <v>0.1</v>
      </c>
      <c r="AK14" s="48">
        <f t="shared" ref="AK14:AK17" si="26">M14*W14</f>
        <v>1.0485</v>
      </c>
      <c r="AL14" s="44">
        <v>1.92</v>
      </c>
      <c r="AM14" s="45">
        <f t="shared" ref="AM14:AM17" si="27">M14/1.2*0.2</f>
        <v>1.165</v>
      </c>
      <c r="AN14" s="45">
        <v>0</v>
      </c>
      <c r="AO14" s="49"/>
      <c r="AP14" s="49"/>
      <c r="AQ14" s="45">
        <v>0</v>
      </c>
      <c r="AR14" s="51" t="s">
        <v>917</v>
      </c>
      <c r="AS14" s="52" t="s">
        <v>918</v>
      </c>
      <c r="AT14" s="53">
        <v>3307900000</v>
      </c>
      <c r="AU14" s="53" t="s">
        <v>112</v>
      </c>
      <c r="AV14" s="53" t="s">
        <v>421</v>
      </c>
      <c r="AW14" s="54" t="s">
        <v>422</v>
      </c>
    </row>
    <row r="15" s="3" customFormat="1" ht="79" customHeight="1" spans="1:50">
      <c r="A15" s="36">
        <v>12</v>
      </c>
      <c r="B15" s="37">
        <v>46175</v>
      </c>
      <c r="C15" s="59" t="s">
        <v>919</v>
      </c>
      <c r="D15" s="39">
        <v>2630773</v>
      </c>
      <c r="E15" s="40" t="s">
        <v>248</v>
      </c>
      <c r="F15" s="42"/>
      <c r="G15" s="42"/>
      <c r="H15" s="42" t="s">
        <v>920</v>
      </c>
      <c r="I15" s="42"/>
      <c r="J15" s="43" t="s">
        <v>921</v>
      </c>
      <c r="K15" s="42" t="s">
        <v>922</v>
      </c>
      <c r="L15" s="43" t="s">
        <v>923</v>
      </c>
      <c r="M15" s="44">
        <v>11.99</v>
      </c>
      <c r="N15" s="45">
        <f t="shared" si="14"/>
        <v>2.90761111111111</v>
      </c>
      <c r="O15" s="46">
        <f t="shared" si="15"/>
        <v>21.8070833333333</v>
      </c>
      <c r="P15" s="47">
        <f t="shared" si="16"/>
        <v>0.242503011769067</v>
      </c>
      <c r="Q15" s="45">
        <f t="shared" si="17"/>
        <v>3.68983333333333</v>
      </c>
      <c r="R15" s="48">
        <f t="shared" si="18"/>
        <v>27.67375</v>
      </c>
      <c r="S15" s="47">
        <f t="shared" si="19"/>
        <v>0.30774256324715</v>
      </c>
      <c r="T15" s="49" t="s">
        <v>870</v>
      </c>
      <c r="U15" s="49">
        <v>7.5</v>
      </c>
      <c r="V15" s="50">
        <v>0.2</v>
      </c>
      <c r="W15" s="50">
        <v>0.15</v>
      </c>
      <c r="X15" s="44">
        <v>22</v>
      </c>
      <c r="Y15" s="44">
        <v>20</v>
      </c>
      <c r="Z15" s="44">
        <v>2</v>
      </c>
      <c r="AA15" s="45">
        <f t="shared" si="20"/>
        <v>0.146666666666667</v>
      </c>
      <c r="AB15" s="44">
        <v>0.14</v>
      </c>
      <c r="AC15" s="49">
        <v>55</v>
      </c>
      <c r="AD15" s="49">
        <v>15</v>
      </c>
      <c r="AE15" s="44">
        <v>12.3</v>
      </c>
      <c r="AF15" s="48">
        <f t="shared" si="21"/>
        <v>1.64</v>
      </c>
      <c r="AG15" s="45">
        <f t="shared" si="22"/>
        <v>8.06666666666667</v>
      </c>
      <c r="AH15" s="45">
        <f t="shared" si="23"/>
        <v>1.07555555555556</v>
      </c>
      <c r="AI15" s="45">
        <f t="shared" si="24"/>
        <v>2.2</v>
      </c>
      <c r="AJ15" s="45">
        <f t="shared" si="25"/>
        <v>0.293333333333333</v>
      </c>
      <c r="AK15" s="48">
        <f t="shared" si="26"/>
        <v>1.7985</v>
      </c>
      <c r="AL15" s="44">
        <v>2.57</v>
      </c>
      <c r="AM15" s="45">
        <f t="shared" si="27"/>
        <v>1.99833333333333</v>
      </c>
      <c r="AN15" s="45">
        <v>0</v>
      </c>
      <c r="AO15" s="49"/>
      <c r="AP15" s="49"/>
      <c r="AQ15" s="45">
        <v>0</v>
      </c>
      <c r="AR15" s="51" t="s">
        <v>924</v>
      </c>
      <c r="AS15" s="52" t="s">
        <v>925</v>
      </c>
      <c r="AT15" s="53">
        <v>9505900000</v>
      </c>
      <c r="AU15" s="53" t="s">
        <v>90</v>
      </c>
      <c r="AV15" s="53" t="s">
        <v>456</v>
      </c>
      <c r="AW15" s="54" t="s">
        <v>457</v>
      </c>
      <c r="AX15" s="3" t="str">
        <f>_xlfn.DISPIMG("ID_9A4A7EBBE74E4D27A70B793C7753CEA7",1)</f>
        <v>=DISPIMG("ID_9A4A7EBBE74E4D27A70B793C7753CEA7",1)</v>
      </c>
    </row>
    <row r="16" s="3" customFormat="1" ht="79" customHeight="1" spans="1:50">
      <c r="A16" s="36">
        <v>13</v>
      </c>
      <c r="B16" s="37">
        <v>46175</v>
      </c>
      <c r="C16" s="38" t="s">
        <v>926</v>
      </c>
      <c r="D16" s="39">
        <v>2630771</v>
      </c>
      <c r="E16" s="40" t="s">
        <v>248</v>
      </c>
      <c r="F16" s="58" t="s">
        <v>579</v>
      </c>
      <c r="G16" s="42"/>
      <c r="H16" s="42" t="s">
        <v>137</v>
      </c>
      <c r="I16" s="42"/>
      <c r="J16" s="43" t="s">
        <v>927</v>
      </c>
      <c r="K16" s="42" t="s">
        <v>928</v>
      </c>
      <c r="L16" s="43" t="s">
        <v>929</v>
      </c>
      <c r="M16" s="44">
        <v>9.99</v>
      </c>
      <c r="N16" s="45">
        <f t="shared" si="14"/>
        <v>2.3665</v>
      </c>
      <c r="O16" s="46">
        <f t="shared" si="15"/>
        <v>17.74875</v>
      </c>
      <c r="P16" s="47">
        <f t="shared" si="16"/>
        <v>0.236886886886887</v>
      </c>
      <c r="Q16" s="45">
        <f t="shared" si="17"/>
        <v>2.95316666666667</v>
      </c>
      <c r="R16" s="48">
        <f t="shared" si="18"/>
        <v>22.14875</v>
      </c>
      <c r="S16" s="47">
        <f t="shared" si="19"/>
        <v>0.295612278945612</v>
      </c>
      <c r="T16" s="49" t="s">
        <v>870</v>
      </c>
      <c r="U16" s="49">
        <v>7.5</v>
      </c>
      <c r="V16" s="50">
        <v>0.2</v>
      </c>
      <c r="W16" s="50">
        <v>0.15</v>
      </c>
      <c r="X16" s="44">
        <v>14</v>
      </c>
      <c r="Y16" s="44">
        <v>13.5</v>
      </c>
      <c r="Z16" s="44">
        <v>2</v>
      </c>
      <c r="AA16" s="45">
        <f t="shared" si="20"/>
        <v>0.063</v>
      </c>
      <c r="AB16" s="44">
        <v>0.11</v>
      </c>
      <c r="AC16" s="49">
        <v>55</v>
      </c>
      <c r="AD16" s="49">
        <v>15</v>
      </c>
      <c r="AE16" s="44">
        <v>11.5</v>
      </c>
      <c r="AF16" s="48">
        <f t="shared" si="21"/>
        <v>1.53333333333333</v>
      </c>
      <c r="AG16" s="45">
        <f t="shared" si="22"/>
        <v>6.05</v>
      </c>
      <c r="AH16" s="45">
        <f t="shared" si="23"/>
        <v>0.806666666666667</v>
      </c>
      <c r="AI16" s="45">
        <f t="shared" si="24"/>
        <v>1.65</v>
      </c>
      <c r="AJ16" s="45">
        <f t="shared" si="25"/>
        <v>0.22</v>
      </c>
      <c r="AK16" s="48">
        <f t="shared" si="26"/>
        <v>1.4985</v>
      </c>
      <c r="AL16" s="44">
        <v>2.12</v>
      </c>
      <c r="AM16" s="45">
        <f t="shared" si="27"/>
        <v>1.665</v>
      </c>
      <c r="AN16" s="45">
        <v>0</v>
      </c>
      <c r="AO16" s="49"/>
      <c r="AP16" s="49"/>
      <c r="AQ16" s="45">
        <v>0</v>
      </c>
      <c r="AR16" s="51" t="s">
        <v>930</v>
      </c>
      <c r="AS16" s="52" t="s">
        <v>931</v>
      </c>
      <c r="AT16" s="53">
        <v>8308100000</v>
      </c>
      <c r="AU16" s="53" t="s">
        <v>162</v>
      </c>
      <c r="AV16" s="53" t="s">
        <v>384</v>
      </c>
      <c r="AW16" s="54" t="s">
        <v>385</v>
      </c>
    </row>
    <row r="17" s="3" customFormat="1" ht="79" customHeight="1" spans="1:50">
      <c r="A17" s="36">
        <v>14</v>
      </c>
      <c r="B17" s="37">
        <v>46175</v>
      </c>
      <c r="C17" s="38" t="s">
        <v>932</v>
      </c>
      <c r="D17" s="39">
        <v>2630772</v>
      </c>
      <c r="E17" s="40" t="s">
        <v>248</v>
      </c>
      <c r="F17" s="42"/>
      <c r="G17" s="42"/>
      <c r="H17" s="42" t="s">
        <v>933</v>
      </c>
      <c r="I17" s="42"/>
      <c r="J17" s="43" t="s">
        <v>934</v>
      </c>
      <c r="K17" s="42" t="s">
        <v>935</v>
      </c>
      <c r="L17" s="43" t="s">
        <v>923</v>
      </c>
      <c r="M17" s="44">
        <v>11.99</v>
      </c>
      <c r="N17" s="45">
        <f t="shared" si="14"/>
        <v>3.08316666666667</v>
      </c>
      <c r="O17" s="46">
        <f t="shared" si="15"/>
        <v>23.12375</v>
      </c>
      <c r="P17" s="47">
        <f t="shared" si="16"/>
        <v>0.257144842924659</v>
      </c>
      <c r="Q17" s="45">
        <f t="shared" si="17"/>
        <v>3.88316666666667</v>
      </c>
      <c r="R17" s="48">
        <f t="shared" si="18"/>
        <v>29.12375</v>
      </c>
      <c r="S17" s="47">
        <f t="shared" si="19"/>
        <v>0.32386711148179</v>
      </c>
      <c r="T17" s="49" t="s">
        <v>870</v>
      </c>
      <c r="U17" s="49">
        <v>7.5</v>
      </c>
      <c r="V17" s="50">
        <v>0.2</v>
      </c>
      <c r="W17" s="50">
        <v>0.15</v>
      </c>
      <c r="X17" s="44">
        <v>22</v>
      </c>
      <c r="Y17" s="44">
        <v>20</v>
      </c>
      <c r="Z17" s="44">
        <v>2</v>
      </c>
      <c r="AA17" s="45">
        <f t="shared" si="20"/>
        <v>0.146666666666667</v>
      </c>
      <c r="AB17" s="44">
        <v>0.15</v>
      </c>
      <c r="AC17" s="49">
        <v>55</v>
      </c>
      <c r="AD17" s="49">
        <v>15</v>
      </c>
      <c r="AE17" s="44">
        <v>10.8</v>
      </c>
      <c r="AF17" s="48">
        <f t="shared" si="21"/>
        <v>1.44</v>
      </c>
      <c r="AG17" s="45">
        <f t="shared" si="22"/>
        <v>8.25</v>
      </c>
      <c r="AH17" s="45">
        <f t="shared" si="23"/>
        <v>1.1</v>
      </c>
      <c r="AI17" s="45">
        <f t="shared" si="24"/>
        <v>2.25</v>
      </c>
      <c r="AJ17" s="45">
        <f t="shared" si="25"/>
        <v>0.3</v>
      </c>
      <c r="AK17" s="48">
        <f t="shared" si="26"/>
        <v>1.7985</v>
      </c>
      <c r="AL17" s="44">
        <v>2.57</v>
      </c>
      <c r="AM17" s="45">
        <f t="shared" si="27"/>
        <v>1.99833333333333</v>
      </c>
      <c r="AN17" s="45">
        <v>0</v>
      </c>
      <c r="AO17" s="49"/>
      <c r="AP17" s="49"/>
      <c r="AQ17" s="45">
        <v>0</v>
      </c>
      <c r="AR17" s="51" t="s">
        <v>936</v>
      </c>
      <c r="AS17" s="52" t="s">
        <v>685</v>
      </c>
      <c r="AT17" s="53">
        <v>9505900000</v>
      </c>
      <c r="AU17" s="53" t="s">
        <v>90</v>
      </c>
      <c r="AV17" s="53" t="s">
        <v>456</v>
      </c>
      <c r="AW17" s="54" t="s">
        <v>457</v>
      </c>
      <c r="AX17" s="3" t="str">
        <f>_xlfn.DISPIMG("ID_CFAA2D342E3B4A8AA0E2EBA7920D8753",1)</f>
        <v>=DISPIMG("ID_CFAA2D342E3B4A8AA0E2EBA7920D8753",1)</v>
      </c>
    </row>
    <row r="18" s="3" customFormat="1" ht="79" customHeight="1" spans="1:50">
      <c r="A18" s="36">
        <v>15</v>
      </c>
      <c r="B18" s="37">
        <v>46175</v>
      </c>
      <c r="C18" s="38" t="s">
        <v>937</v>
      </c>
      <c r="D18" s="39">
        <v>2551656</v>
      </c>
      <c r="E18" s="40" t="s">
        <v>73</v>
      </c>
      <c r="F18" s="58" t="s">
        <v>579</v>
      </c>
      <c r="G18" s="42"/>
      <c r="H18" s="42" t="s">
        <v>938</v>
      </c>
      <c r="I18" s="42"/>
      <c r="J18" s="43" t="s">
        <v>939</v>
      </c>
      <c r="K18" s="42" t="s">
        <v>940</v>
      </c>
      <c r="L18" s="43"/>
      <c r="M18" s="44">
        <v>15.99</v>
      </c>
      <c r="N18" s="45">
        <v>3.25316666666667</v>
      </c>
      <c r="O18" s="46">
        <v>24.39875</v>
      </c>
      <c r="P18" s="47">
        <v>0.203450072962268</v>
      </c>
      <c r="Q18" s="45">
        <v>4.5865</v>
      </c>
      <c r="R18" s="48">
        <v>34.39875</v>
      </c>
      <c r="S18" s="47">
        <v>0.286835522201376</v>
      </c>
      <c r="T18" s="49" t="s">
        <v>870</v>
      </c>
      <c r="U18" s="49">
        <v>7.5</v>
      </c>
      <c r="V18" s="50">
        <v>0.2</v>
      </c>
      <c r="W18" s="50">
        <v>0.15</v>
      </c>
      <c r="X18" s="44">
        <v>20</v>
      </c>
      <c r="Y18" s="44">
        <v>15</v>
      </c>
      <c r="Z18" s="44">
        <v>5</v>
      </c>
      <c r="AA18" s="45">
        <v>0.25</v>
      </c>
      <c r="AB18" s="44">
        <v>0.25</v>
      </c>
      <c r="AC18" s="49">
        <v>55</v>
      </c>
      <c r="AD18" s="49">
        <v>15</v>
      </c>
      <c r="AE18" s="44">
        <v>21</v>
      </c>
      <c r="AF18" s="48">
        <v>2.8</v>
      </c>
      <c r="AG18" s="45">
        <v>13.75</v>
      </c>
      <c r="AH18" s="45">
        <v>1.83333333333333</v>
      </c>
      <c r="AI18" s="45">
        <v>3.75</v>
      </c>
      <c r="AJ18" s="45">
        <v>0.5</v>
      </c>
      <c r="AK18" s="48">
        <v>2.3985</v>
      </c>
      <c r="AL18" s="44">
        <v>3.04</v>
      </c>
      <c r="AM18" s="45">
        <v>2.665</v>
      </c>
      <c r="AN18" s="45">
        <v>0</v>
      </c>
      <c r="AO18" s="49"/>
      <c r="AP18" s="49"/>
      <c r="AQ18" s="45">
        <v>0</v>
      </c>
      <c r="AR18" s="51" t="s">
        <v>941</v>
      </c>
      <c r="AS18" s="52" t="s">
        <v>942</v>
      </c>
      <c r="AT18" s="53">
        <v>9503003500</v>
      </c>
      <c r="AU18" s="53" t="s">
        <v>112</v>
      </c>
      <c r="AV18" s="53" t="s">
        <v>943</v>
      </c>
      <c r="AW18" s="54" t="s">
        <v>944</v>
      </c>
    </row>
    <row r="19" s="3" customFormat="1" ht="79" customHeight="1" spans="1:50">
      <c r="A19" s="36">
        <v>16</v>
      </c>
      <c r="B19" s="37">
        <v>46175</v>
      </c>
      <c r="C19" s="38" t="s">
        <v>945</v>
      </c>
      <c r="D19" s="39">
        <v>2551657</v>
      </c>
      <c r="E19" s="40" t="s">
        <v>73</v>
      </c>
      <c r="F19" s="58" t="s">
        <v>579</v>
      </c>
      <c r="G19" s="42"/>
      <c r="H19" s="58" t="s">
        <v>196</v>
      </c>
      <c r="I19" s="42"/>
      <c r="J19" s="43" t="s">
        <v>946</v>
      </c>
      <c r="K19" s="42" t="s">
        <v>947</v>
      </c>
      <c r="L19" s="43"/>
      <c r="M19" s="44">
        <v>9.99</v>
      </c>
      <c r="N19" s="45">
        <v>2.73761111111111</v>
      </c>
      <c r="O19" s="46">
        <v>20.5320833333333</v>
      </c>
      <c r="P19" s="47">
        <v>0.274035146257369</v>
      </c>
      <c r="Q19" s="45">
        <v>3.73316666666667</v>
      </c>
      <c r="R19" s="48">
        <v>27.99875</v>
      </c>
      <c r="S19" s="47">
        <v>0.37369035702369</v>
      </c>
      <c r="T19" s="49" t="s">
        <v>870</v>
      </c>
      <c r="U19" s="49">
        <v>7.5</v>
      </c>
      <c r="V19" s="50">
        <v>0.2</v>
      </c>
      <c r="W19" s="50">
        <v>0.15</v>
      </c>
      <c r="X19" s="44">
        <v>28</v>
      </c>
      <c r="Y19" s="44">
        <v>20</v>
      </c>
      <c r="Z19" s="44">
        <v>2</v>
      </c>
      <c r="AA19" s="45">
        <v>0.186666666666667</v>
      </c>
      <c r="AB19" s="44">
        <v>0.1</v>
      </c>
      <c r="AC19" s="49">
        <v>55</v>
      </c>
      <c r="AD19" s="49">
        <v>15</v>
      </c>
      <c r="AE19" s="44">
        <v>6</v>
      </c>
      <c r="AF19" s="48">
        <v>0.8</v>
      </c>
      <c r="AG19" s="45">
        <v>10.2666666666667</v>
      </c>
      <c r="AH19" s="45">
        <v>1.36888888888889</v>
      </c>
      <c r="AI19" s="45">
        <v>2.8</v>
      </c>
      <c r="AJ19" s="45">
        <v>0.373333333333333</v>
      </c>
      <c r="AK19" s="48">
        <v>1.4985</v>
      </c>
      <c r="AL19" s="44">
        <v>1.92</v>
      </c>
      <c r="AM19" s="45">
        <v>1.665</v>
      </c>
      <c r="AN19" s="45">
        <v>0</v>
      </c>
      <c r="AO19" s="49"/>
      <c r="AP19" s="49"/>
      <c r="AQ19" s="45">
        <v>0</v>
      </c>
      <c r="AR19" s="51" t="s">
        <v>948</v>
      </c>
      <c r="AS19" s="52" t="s">
        <v>949</v>
      </c>
      <c r="AT19" s="53">
        <v>3919909090</v>
      </c>
      <c r="AU19" s="53" t="s">
        <v>950</v>
      </c>
      <c r="AV19" s="53" t="s">
        <v>951</v>
      </c>
      <c r="AW19" s="54" t="s">
        <v>952</v>
      </c>
      <c r="AX19" s="3" t="s">
        <v>953</v>
      </c>
    </row>
    <row r="20" s="3" customFormat="1" ht="79" customHeight="1" spans="1:50">
      <c r="A20" s="36">
        <v>17</v>
      </c>
      <c r="B20" s="37">
        <v>46175</v>
      </c>
      <c r="C20" s="38" t="s">
        <v>954</v>
      </c>
      <c r="D20" s="39">
        <v>2551658</v>
      </c>
      <c r="E20" s="40" t="s">
        <v>73</v>
      </c>
      <c r="F20" s="58" t="s">
        <v>579</v>
      </c>
      <c r="G20" s="42"/>
      <c r="H20" s="42"/>
      <c r="I20" s="42"/>
      <c r="J20" s="43" t="s">
        <v>955</v>
      </c>
      <c r="K20" s="42" t="s">
        <v>956</v>
      </c>
      <c r="L20" s="43"/>
      <c r="M20" s="44">
        <v>5.99</v>
      </c>
      <c r="N20" s="45">
        <v>1.70094444444444</v>
      </c>
      <c r="O20" s="46">
        <v>12.7570833333333</v>
      </c>
      <c r="P20" s="47">
        <v>0.28396401409757</v>
      </c>
      <c r="Q20" s="45">
        <v>1.78983333333333</v>
      </c>
      <c r="R20" s="48">
        <v>13.42375</v>
      </c>
      <c r="S20" s="47">
        <v>0.298803561491374</v>
      </c>
      <c r="T20" s="49" t="s">
        <v>870</v>
      </c>
      <c r="U20" s="49">
        <v>7.5</v>
      </c>
      <c r="V20" s="50">
        <v>0.2</v>
      </c>
      <c r="W20" s="50">
        <v>0.15</v>
      </c>
      <c r="X20" s="44">
        <v>10</v>
      </c>
      <c r="Y20" s="44">
        <v>10</v>
      </c>
      <c r="Z20" s="44">
        <v>1</v>
      </c>
      <c r="AA20" s="45">
        <v>0.0166666666666667</v>
      </c>
      <c r="AB20" s="44">
        <v>0.01</v>
      </c>
      <c r="AC20" s="49">
        <v>55</v>
      </c>
      <c r="AD20" s="49">
        <v>15</v>
      </c>
      <c r="AE20" s="44">
        <v>3</v>
      </c>
      <c r="AF20" s="48">
        <v>0.4</v>
      </c>
      <c r="AG20" s="45">
        <v>0.916666666666667</v>
      </c>
      <c r="AH20" s="45">
        <v>0.122222222222222</v>
      </c>
      <c r="AI20" s="45">
        <v>0.25</v>
      </c>
      <c r="AJ20" s="45">
        <v>0.0333333333333333</v>
      </c>
      <c r="AK20" s="48">
        <v>0.8985</v>
      </c>
      <c r="AL20" s="44">
        <v>1.87</v>
      </c>
      <c r="AM20" s="45">
        <v>0.998333333333334</v>
      </c>
      <c r="AN20" s="45">
        <v>0</v>
      </c>
      <c r="AO20" s="49"/>
      <c r="AP20" s="49"/>
      <c r="AQ20" s="45">
        <v>0</v>
      </c>
      <c r="AR20" s="51" t="s">
        <v>957</v>
      </c>
      <c r="AS20" s="52" t="s">
        <v>958</v>
      </c>
      <c r="AT20" s="53">
        <v>3926909090</v>
      </c>
      <c r="AU20" s="53" t="s">
        <v>112</v>
      </c>
      <c r="AV20" s="53" t="s">
        <v>959</v>
      </c>
      <c r="AW20" s="54" t="s">
        <v>960</v>
      </c>
    </row>
    <row r="21" s="3" customFormat="1" ht="79" customHeight="1" spans="1:50">
      <c r="A21" s="36">
        <v>18</v>
      </c>
      <c r="B21" s="37">
        <v>46175</v>
      </c>
      <c r="C21" s="38" t="s">
        <v>961</v>
      </c>
      <c r="D21" s="39">
        <v>2551659</v>
      </c>
      <c r="E21" s="40" t="s">
        <v>73</v>
      </c>
      <c r="F21" s="58" t="s">
        <v>579</v>
      </c>
      <c r="G21" s="42"/>
      <c r="H21" s="58" t="s">
        <v>962</v>
      </c>
      <c r="I21" s="42"/>
      <c r="J21" s="43" t="s">
        <v>963</v>
      </c>
      <c r="K21" s="42" t="s">
        <v>964</v>
      </c>
      <c r="L21" s="43"/>
      <c r="M21" s="44">
        <v>13.99</v>
      </c>
      <c r="N21" s="45">
        <v>2.7165</v>
      </c>
      <c r="O21" s="46">
        <v>20.37375</v>
      </c>
      <c r="P21" s="47">
        <v>0.194174410293066</v>
      </c>
      <c r="Q21" s="45">
        <v>3.24983333333333</v>
      </c>
      <c r="R21" s="48">
        <v>24.37375</v>
      </c>
      <c r="S21" s="47">
        <v>0.232296878722897</v>
      </c>
      <c r="T21" s="49" t="s">
        <v>870</v>
      </c>
      <c r="U21" s="49">
        <v>7.5</v>
      </c>
      <c r="V21" s="50">
        <v>0.2</v>
      </c>
      <c r="W21" s="50">
        <v>0.15</v>
      </c>
      <c r="X21" s="44">
        <v>19</v>
      </c>
      <c r="Y21" s="44">
        <v>12</v>
      </c>
      <c r="Z21" s="44">
        <v>2</v>
      </c>
      <c r="AA21" s="45">
        <v>0.076</v>
      </c>
      <c r="AB21" s="44">
        <v>0.1</v>
      </c>
      <c r="AC21" s="49">
        <v>55</v>
      </c>
      <c r="AD21" s="49">
        <v>15</v>
      </c>
      <c r="AE21" s="44">
        <v>27</v>
      </c>
      <c r="AF21" s="48">
        <v>3.6</v>
      </c>
      <c r="AG21" s="45">
        <v>5.5</v>
      </c>
      <c r="AH21" s="45">
        <v>0.733333333333333</v>
      </c>
      <c r="AI21" s="45">
        <v>1.5</v>
      </c>
      <c r="AJ21" s="45">
        <v>0.2</v>
      </c>
      <c r="AK21" s="48">
        <v>2.0985</v>
      </c>
      <c r="AL21" s="44">
        <v>2.51</v>
      </c>
      <c r="AM21" s="45">
        <v>2.33166666666667</v>
      </c>
      <c r="AN21" s="45">
        <v>0</v>
      </c>
      <c r="AO21" s="49"/>
      <c r="AP21" s="49"/>
      <c r="AQ21" s="45">
        <v>0</v>
      </c>
      <c r="AR21" s="51" t="s">
        <v>965</v>
      </c>
      <c r="AS21" s="52" t="s">
        <v>966</v>
      </c>
      <c r="AT21" s="53">
        <v>8203200000</v>
      </c>
      <c r="AU21" s="53" t="s">
        <v>967</v>
      </c>
      <c r="AV21" s="53" t="s">
        <v>968</v>
      </c>
      <c r="AW21" s="54" t="s">
        <v>969</v>
      </c>
    </row>
    <row r="22" s="3" customFormat="1" ht="79" customHeight="1" spans="1:50">
      <c r="A22" s="36">
        <v>19</v>
      </c>
      <c r="B22" s="37">
        <v>46175</v>
      </c>
      <c r="C22" s="38" t="s">
        <v>970</v>
      </c>
      <c r="D22" s="39">
        <v>2551660</v>
      </c>
      <c r="E22" s="40" t="s">
        <v>73</v>
      </c>
      <c r="F22" s="42" t="s">
        <v>579</v>
      </c>
      <c r="G22" s="42"/>
      <c r="H22" s="42"/>
      <c r="I22" s="42" t="s">
        <v>971</v>
      </c>
      <c r="J22" s="43" t="s">
        <v>972</v>
      </c>
      <c r="K22" s="42" t="s">
        <v>973</v>
      </c>
      <c r="L22" s="43" t="s">
        <v>974</v>
      </c>
      <c r="M22" s="44">
        <v>13.99</v>
      </c>
      <c r="N22" s="45">
        <v>3.4265</v>
      </c>
      <c r="O22" s="46">
        <v>25.69875</v>
      </c>
      <c r="P22" s="47">
        <v>0.244924946390279</v>
      </c>
      <c r="Q22" s="45">
        <v>4.75983333333333</v>
      </c>
      <c r="R22" s="48">
        <v>35.69875</v>
      </c>
      <c r="S22" s="47">
        <v>0.340231117464856</v>
      </c>
      <c r="T22" s="49" t="s">
        <v>870</v>
      </c>
      <c r="U22" s="49">
        <v>7.5</v>
      </c>
      <c r="V22" s="50">
        <v>0.2</v>
      </c>
      <c r="W22" s="50">
        <v>0.15</v>
      </c>
      <c r="X22" s="44">
        <v>20</v>
      </c>
      <c r="Y22" s="44">
        <v>15</v>
      </c>
      <c r="Z22" s="44">
        <v>5</v>
      </c>
      <c r="AA22" s="45">
        <v>0.25</v>
      </c>
      <c r="AB22" s="44">
        <v>0.12</v>
      </c>
      <c r="AC22" s="49">
        <v>55</v>
      </c>
      <c r="AD22" s="49">
        <v>15</v>
      </c>
      <c r="AE22" s="44">
        <v>6.6</v>
      </c>
      <c r="AF22" s="48">
        <v>0.88</v>
      </c>
      <c r="AG22" s="45">
        <v>13.75</v>
      </c>
      <c r="AH22" s="45">
        <v>1.83333333333333</v>
      </c>
      <c r="AI22" s="45">
        <v>3.75</v>
      </c>
      <c r="AJ22" s="45">
        <v>0.5</v>
      </c>
      <c r="AK22" s="48">
        <v>2.0985</v>
      </c>
      <c r="AL22" s="44">
        <v>3.42</v>
      </c>
      <c r="AM22" s="45">
        <v>2.33166666666667</v>
      </c>
      <c r="AN22" s="45">
        <v>0</v>
      </c>
      <c r="AO22" s="49"/>
      <c r="AP22" s="49"/>
      <c r="AQ22" s="45">
        <v>0</v>
      </c>
      <c r="AR22" s="51" t="s">
        <v>975</v>
      </c>
      <c r="AS22" s="52" t="s">
        <v>976</v>
      </c>
      <c r="AT22" s="53">
        <v>4016999090</v>
      </c>
      <c r="AU22" s="53" t="s">
        <v>153</v>
      </c>
      <c r="AV22" s="53" t="s">
        <v>977</v>
      </c>
      <c r="AW22" s="54" t="s">
        <v>978</v>
      </c>
      <c r="AX22" s="3" t="s">
        <v>979</v>
      </c>
    </row>
    <row r="23" s="3" customFormat="1" ht="79" customHeight="1" spans="1:50">
      <c r="A23" s="36">
        <v>20</v>
      </c>
      <c r="B23" s="37">
        <v>46175</v>
      </c>
      <c r="C23" s="38" t="s">
        <v>980</v>
      </c>
      <c r="D23" s="39">
        <v>2551661</v>
      </c>
      <c r="E23" s="40" t="s">
        <v>73</v>
      </c>
      <c r="F23" s="42" t="s">
        <v>579</v>
      </c>
      <c r="G23" s="42"/>
      <c r="H23" s="58" t="s">
        <v>196</v>
      </c>
      <c r="I23" s="42"/>
      <c r="J23" s="43" t="s">
        <v>981</v>
      </c>
      <c r="K23" s="42" t="s">
        <v>982</v>
      </c>
      <c r="L23" s="43"/>
      <c r="M23" s="44">
        <v>12.99</v>
      </c>
      <c r="N23" s="45">
        <v>2.89205555555555</v>
      </c>
      <c r="O23" s="46">
        <v>21.6904166666667</v>
      </c>
      <c r="P23" s="47">
        <v>0.22263707125139</v>
      </c>
      <c r="Q23" s="45">
        <v>3.86983333333333</v>
      </c>
      <c r="R23" s="48">
        <v>29.02375</v>
      </c>
      <c r="S23" s="47">
        <v>0.297908647677701</v>
      </c>
      <c r="T23" s="49" t="s">
        <v>870</v>
      </c>
      <c r="U23" s="49">
        <v>7.5</v>
      </c>
      <c r="V23" s="50">
        <v>0.2</v>
      </c>
      <c r="W23" s="50">
        <v>0.15</v>
      </c>
      <c r="X23" s="44">
        <v>20</v>
      </c>
      <c r="Y23" s="44">
        <v>11</v>
      </c>
      <c r="Z23" s="44">
        <v>5</v>
      </c>
      <c r="AA23" s="45">
        <v>0.183333333333333</v>
      </c>
      <c r="AB23" s="44">
        <v>0.15</v>
      </c>
      <c r="AC23" s="49">
        <v>55</v>
      </c>
      <c r="AD23" s="49">
        <v>15</v>
      </c>
      <c r="AE23" s="44">
        <v>12</v>
      </c>
      <c r="AF23" s="48">
        <v>1.6</v>
      </c>
      <c r="AG23" s="45">
        <v>10.0833333333333</v>
      </c>
      <c r="AH23" s="45">
        <v>1.34444444444444</v>
      </c>
      <c r="AI23" s="45">
        <v>2.75</v>
      </c>
      <c r="AJ23" s="45">
        <v>0.366666666666667</v>
      </c>
      <c r="AK23" s="48">
        <v>1.9485</v>
      </c>
      <c r="AL23" s="44">
        <v>3.04</v>
      </c>
      <c r="AM23" s="45">
        <v>2.165</v>
      </c>
      <c r="AN23" s="45">
        <v>0</v>
      </c>
      <c r="AO23" s="49"/>
      <c r="AP23" s="49"/>
      <c r="AQ23" s="45">
        <v>0</v>
      </c>
      <c r="AR23" s="51" t="s">
        <v>983</v>
      </c>
      <c r="AS23" s="52" t="s">
        <v>984</v>
      </c>
      <c r="AT23" s="53">
        <v>6911900000</v>
      </c>
      <c r="AU23" s="53" t="s">
        <v>102</v>
      </c>
      <c r="AV23" s="53" t="s">
        <v>985</v>
      </c>
      <c r="AW23" s="54" t="s">
        <v>986</v>
      </c>
    </row>
    <row r="24" s="3" customFormat="1" ht="79" customHeight="1" spans="1:50">
      <c r="A24" s="36">
        <v>21</v>
      </c>
      <c r="B24" s="37">
        <v>46175</v>
      </c>
      <c r="C24" s="38" t="s">
        <v>987</v>
      </c>
      <c r="D24" s="39">
        <v>2551662</v>
      </c>
      <c r="E24" s="40" t="s">
        <v>73</v>
      </c>
      <c r="F24" s="42"/>
      <c r="G24" s="42"/>
      <c r="H24" s="58" t="s">
        <v>196</v>
      </c>
      <c r="I24" s="42"/>
      <c r="J24" s="43" t="s">
        <v>981</v>
      </c>
      <c r="K24" s="42" t="s">
        <v>982</v>
      </c>
      <c r="L24" s="43"/>
      <c r="M24" s="44">
        <v>12.99</v>
      </c>
      <c r="N24" s="45">
        <v>2.89205555555555</v>
      </c>
      <c r="O24" s="46">
        <v>21.6904166666667</v>
      </c>
      <c r="P24" s="47">
        <v>0.22263707125139</v>
      </c>
      <c r="Q24" s="45">
        <v>3.86983333333333</v>
      </c>
      <c r="R24" s="48">
        <v>29.02375</v>
      </c>
      <c r="S24" s="47">
        <v>0.297908647677701</v>
      </c>
      <c r="T24" s="49" t="s">
        <v>870</v>
      </c>
      <c r="U24" s="49">
        <v>7.5</v>
      </c>
      <c r="V24" s="50">
        <v>0.2</v>
      </c>
      <c r="W24" s="50">
        <v>0.15</v>
      </c>
      <c r="X24" s="44">
        <v>20</v>
      </c>
      <c r="Y24" s="44">
        <v>11</v>
      </c>
      <c r="Z24" s="44">
        <v>5</v>
      </c>
      <c r="AA24" s="45">
        <v>0.183333333333333</v>
      </c>
      <c r="AB24" s="44">
        <v>0.15</v>
      </c>
      <c r="AC24" s="49">
        <v>55</v>
      </c>
      <c r="AD24" s="49">
        <v>15</v>
      </c>
      <c r="AE24" s="44">
        <v>12</v>
      </c>
      <c r="AF24" s="48">
        <v>1.6</v>
      </c>
      <c r="AG24" s="45">
        <v>10.0833333333333</v>
      </c>
      <c r="AH24" s="45">
        <v>1.34444444444444</v>
      </c>
      <c r="AI24" s="45">
        <v>2.75</v>
      </c>
      <c r="AJ24" s="45">
        <v>0.366666666666667</v>
      </c>
      <c r="AK24" s="48">
        <v>1.9485</v>
      </c>
      <c r="AL24" s="44">
        <v>3.04</v>
      </c>
      <c r="AM24" s="45">
        <v>2.165</v>
      </c>
      <c r="AN24" s="45">
        <v>0</v>
      </c>
      <c r="AO24" s="49"/>
      <c r="AP24" s="49"/>
      <c r="AQ24" s="45">
        <v>0</v>
      </c>
      <c r="AR24" s="51" t="s">
        <v>983</v>
      </c>
      <c r="AS24" s="52" t="s">
        <v>984</v>
      </c>
      <c r="AT24" s="53">
        <v>6911900000</v>
      </c>
      <c r="AU24" s="53" t="s">
        <v>102</v>
      </c>
      <c r="AV24" s="53" t="s">
        <v>985</v>
      </c>
      <c r="AW24" s="54" t="s">
        <v>986</v>
      </c>
    </row>
    <row r="25" s="3" customFormat="1" ht="79" customHeight="1" spans="1:50">
      <c r="A25" s="36">
        <v>22</v>
      </c>
      <c r="B25" s="37">
        <v>46175</v>
      </c>
      <c r="C25" s="38" t="s">
        <v>988</v>
      </c>
      <c r="D25" s="39">
        <v>2551663</v>
      </c>
      <c r="E25" s="40" t="s">
        <v>73</v>
      </c>
      <c r="F25" s="42"/>
      <c r="G25" s="42"/>
      <c r="H25" s="42" t="s">
        <v>938</v>
      </c>
      <c r="I25" s="42"/>
      <c r="J25" s="43" t="s">
        <v>989</v>
      </c>
      <c r="K25" s="42" t="s">
        <v>990</v>
      </c>
      <c r="L25" s="43"/>
      <c r="M25" s="44">
        <v>9.99</v>
      </c>
      <c r="N25" s="45">
        <v>1.6585</v>
      </c>
      <c r="O25" s="46">
        <v>12.43875</v>
      </c>
      <c r="P25" s="47">
        <v>0.166016016016016</v>
      </c>
      <c r="Q25" s="45">
        <v>2.83183333333333</v>
      </c>
      <c r="R25" s="48">
        <v>21.23875</v>
      </c>
      <c r="S25" s="47">
        <v>0.283466800133467</v>
      </c>
      <c r="T25" s="49" t="s">
        <v>870</v>
      </c>
      <c r="U25" s="49">
        <v>7.5</v>
      </c>
      <c r="V25" s="50">
        <v>0.2</v>
      </c>
      <c r="W25" s="50">
        <v>0.15</v>
      </c>
      <c r="X25" s="44">
        <v>30</v>
      </c>
      <c r="Y25" s="44">
        <v>22</v>
      </c>
      <c r="Z25" s="44">
        <v>2</v>
      </c>
      <c r="AA25" s="45">
        <v>0.22</v>
      </c>
      <c r="AB25" s="44">
        <v>0.12</v>
      </c>
      <c r="AC25" s="49">
        <v>55</v>
      </c>
      <c r="AD25" s="49">
        <v>15</v>
      </c>
      <c r="AE25" s="44">
        <v>10.76</v>
      </c>
      <c r="AF25" s="48">
        <v>1.43466666666667</v>
      </c>
      <c r="AG25" s="45">
        <v>12.1</v>
      </c>
      <c r="AH25" s="45">
        <v>1.61333333333333</v>
      </c>
      <c r="AI25" s="45">
        <v>3.3</v>
      </c>
      <c r="AJ25" s="45">
        <v>0.44</v>
      </c>
      <c r="AK25" s="48">
        <v>1.4985</v>
      </c>
      <c r="AL25" s="44">
        <v>2.12</v>
      </c>
      <c r="AM25" s="45">
        <v>1.665</v>
      </c>
      <c r="AN25" s="45">
        <v>0</v>
      </c>
      <c r="AO25" s="49"/>
      <c r="AP25" s="49"/>
      <c r="AQ25" s="45">
        <v>0</v>
      </c>
      <c r="AR25" s="51" t="s">
        <v>991</v>
      </c>
      <c r="AS25" s="52" t="s">
        <v>559</v>
      </c>
      <c r="AT25" s="53">
        <v>6302601000</v>
      </c>
      <c r="AU25" s="53" t="s">
        <v>992</v>
      </c>
      <c r="AV25" s="53" t="s">
        <v>739</v>
      </c>
      <c r="AW25" s="54" t="s">
        <v>740</v>
      </c>
    </row>
    <row r="26" s="3" customFormat="1" ht="79" customHeight="1" spans="1:50">
      <c r="A26" s="36">
        <v>23</v>
      </c>
      <c r="B26" s="37">
        <v>46175</v>
      </c>
      <c r="C26" s="38" t="s">
        <v>993</v>
      </c>
      <c r="D26" s="39">
        <v>2551664</v>
      </c>
      <c r="E26" s="40" t="s">
        <v>73</v>
      </c>
      <c r="F26" s="42"/>
      <c r="G26" s="42"/>
      <c r="H26" s="42" t="s">
        <v>938</v>
      </c>
      <c r="I26" s="42"/>
      <c r="J26" s="43" t="s">
        <v>994</v>
      </c>
      <c r="K26" s="42" t="s">
        <v>995</v>
      </c>
      <c r="L26" s="43"/>
      <c r="M26" s="44">
        <v>13.99</v>
      </c>
      <c r="N26" s="45">
        <v>3.01983333333333</v>
      </c>
      <c r="O26" s="46">
        <v>22.64875</v>
      </c>
      <c r="P26" s="47">
        <v>0.215856564212533</v>
      </c>
      <c r="Q26" s="45">
        <v>4.0865</v>
      </c>
      <c r="R26" s="48">
        <v>30.64875</v>
      </c>
      <c r="S26" s="47">
        <v>0.292101501072194</v>
      </c>
      <c r="T26" s="49" t="s">
        <v>870</v>
      </c>
      <c r="U26" s="49">
        <v>7.5</v>
      </c>
      <c r="V26" s="50">
        <v>0.2</v>
      </c>
      <c r="W26" s="50">
        <v>0.15</v>
      </c>
      <c r="X26" s="44">
        <v>7.2</v>
      </c>
      <c r="Y26" s="44">
        <v>7.2</v>
      </c>
      <c r="Z26" s="44">
        <v>5</v>
      </c>
      <c r="AA26" s="45">
        <v>0.0432</v>
      </c>
      <c r="AB26" s="44">
        <v>0.2</v>
      </c>
      <c r="AC26" s="49">
        <v>55</v>
      </c>
      <c r="AD26" s="49">
        <v>15</v>
      </c>
      <c r="AE26" s="44">
        <v>12.4</v>
      </c>
      <c r="AF26" s="48">
        <v>1.65333333333333</v>
      </c>
      <c r="AG26" s="45">
        <v>11</v>
      </c>
      <c r="AH26" s="45">
        <v>1.46666666666667</v>
      </c>
      <c r="AI26" s="45">
        <v>3</v>
      </c>
      <c r="AJ26" s="45">
        <v>0.4</v>
      </c>
      <c r="AK26" s="48">
        <v>2.0985</v>
      </c>
      <c r="AL26" s="44">
        <v>3.42</v>
      </c>
      <c r="AM26" s="45">
        <v>2.33166666666667</v>
      </c>
      <c r="AN26" s="45">
        <v>0</v>
      </c>
      <c r="AO26" s="49"/>
      <c r="AP26" s="49"/>
      <c r="AQ26" s="45">
        <v>0</v>
      </c>
      <c r="AR26" s="51" t="s">
        <v>996</v>
      </c>
      <c r="AS26" s="52" t="s">
        <v>997</v>
      </c>
      <c r="AT26" s="53">
        <v>8302500000</v>
      </c>
      <c r="AU26" s="53" t="s">
        <v>174</v>
      </c>
      <c r="AV26" s="53" t="s">
        <v>998</v>
      </c>
      <c r="AW26" s="54" t="s">
        <v>999</v>
      </c>
    </row>
    <row r="27" s="3" customFormat="1" ht="79" customHeight="1" spans="1:50">
      <c r="A27" s="36">
        <v>24</v>
      </c>
      <c r="B27" s="37">
        <v>46175</v>
      </c>
      <c r="C27" s="38" t="s">
        <v>1000</v>
      </c>
      <c r="D27" s="39">
        <v>2551665</v>
      </c>
      <c r="E27" s="40" t="s">
        <v>73</v>
      </c>
      <c r="F27" s="58" t="s">
        <v>579</v>
      </c>
      <c r="G27" s="42"/>
      <c r="H27" s="42" t="s">
        <v>938</v>
      </c>
      <c r="I27" s="42"/>
      <c r="J27" s="43" t="s">
        <v>1001</v>
      </c>
      <c r="K27" s="42" t="s">
        <v>1002</v>
      </c>
      <c r="L27" s="43"/>
      <c r="M27" s="44">
        <v>10.99</v>
      </c>
      <c r="N27" s="45">
        <v>2.55316666666667</v>
      </c>
      <c r="O27" s="46">
        <v>19.14875</v>
      </c>
      <c r="P27" s="47">
        <v>0.232317258113436</v>
      </c>
      <c r="Q27" s="45">
        <v>2.87316666666667</v>
      </c>
      <c r="R27" s="48">
        <v>21.54875</v>
      </c>
      <c r="S27" s="47">
        <v>0.261434637549287</v>
      </c>
      <c r="T27" s="49" t="s">
        <v>870</v>
      </c>
      <c r="U27" s="49">
        <v>7.5</v>
      </c>
      <c r="V27" s="50">
        <v>0.2</v>
      </c>
      <c r="W27" s="50">
        <v>0.15</v>
      </c>
      <c r="X27" s="44">
        <v>8</v>
      </c>
      <c r="Y27" s="44">
        <v>8</v>
      </c>
      <c r="Z27" s="44">
        <v>4</v>
      </c>
      <c r="AA27" s="45">
        <v>0.0426666666666667</v>
      </c>
      <c r="AB27" s="44">
        <v>0.06</v>
      </c>
      <c r="AC27" s="49">
        <v>55</v>
      </c>
      <c r="AD27" s="49">
        <v>15</v>
      </c>
      <c r="AE27" s="44">
        <v>14</v>
      </c>
      <c r="AF27" s="48">
        <v>1.86666666666667</v>
      </c>
      <c r="AG27" s="45">
        <v>3.3</v>
      </c>
      <c r="AH27" s="45">
        <v>0.44</v>
      </c>
      <c r="AI27" s="45">
        <v>0.9</v>
      </c>
      <c r="AJ27" s="45">
        <v>0.12</v>
      </c>
      <c r="AK27" s="48">
        <v>1.6485</v>
      </c>
      <c r="AL27" s="44">
        <v>2.65</v>
      </c>
      <c r="AM27" s="45">
        <v>1.83166666666667</v>
      </c>
      <c r="AN27" s="45">
        <v>0</v>
      </c>
      <c r="AO27" s="49"/>
      <c r="AP27" s="49"/>
      <c r="AQ27" s="45">
        <v>0</v>
      </c>
      <c r="AR27" s="51" t="s">
        <v>1003</v>
      </c>
      <c r="AS27" s="52" t="s">
        <v>1004</v>
      </c>
      <c r="AT27" s="53">
        <v>3926400000</v>
      </c>
      <c r="AU27" s="53" t="s">
        <v>596</v>
      </c>
      <c r="AV27" s="53" t="s">
        <v>1005</v>
      </c>
      <c r="AW27" s="54" t="s">
        <v>1006</v>
      </c>
    </row>
    <row r="28" s="3" customFormat="1" ht="79" customHeight="1" spans="1:50">
      <c r="A28" s="36">
        <v>25</v>
      </c>
      <c r="B28" s="37">
        <v>46175</v>
      </c>
      <c r="C28" s="38" t="s">
        <v>1007</v>
      </c>
      <c r="D28" s="39">
        <v>2551666</v>
      </c>
      <c r="E28" s="40" t="s">
        <v>73</v>
      </c>
      <c r="F28" s="42"/>
      <c r="G28" s="42"/>
      <c r="H28" s="42" t="s">
        <v>938</v>
      </c>
      <c r="I28" s="42" t="s">
        <v>1008</v>
      </c>
      <c r="J28" s="43" t="s">
        <v>1009</v>
      </c>
      <c r="K28" s="42" t="s">
        <v>1010</v>
      </c>
      <c r="L28" s="43"/>
      <c r="M28" s="44">
        <v>12.99</v>
      </c>
      <c r="N28" s="45">
        <v>2.55316666666667</v>
      </c>
      <c r="O28" s="46">
        <v>19.14875</v>
      </c>
      <c r="P28" s="47">
        <v>0.196548627149089</v>
      </c>
      <c r="Q28" s="45">
        <v>3.61983333333333</v>
      </c>
      <c r="R28" s="48">
        <v>27.14875</v>
      </c>
      <c r="S28" s="47">
        <v>0.27866307415961</v>
      </c>
      <c r="T28" s="49" t="s">
        <v>870</v>
      </c>
      <c r="U28" s="49">
        <v>7.5</v>
      </c>
      <c r="V28" s="50">
        <v>0.2</v>
      </c>
      <c r="W28" s="50">
        <v>0.15</v>
      </c>
      <c r="X28" s="44">
        <v>40</v>
      </c>
      <c r="Y28" s="44">
        <v>10</v>
      </c>
      <c r="Z28" s="44">
        <v>3</v>
      </c>
      <c r="AA28" s="45">
        <v>0.2</v>
      </c>
      <c r="AB28" s="44">
        <v>0.06</v>
      </c>
      <c r="AC28" s="49">
        <v>55</v>
      </c>
      <c r="AD28" s="49">
        <v>15</v>
      </c>
      <c r="AE28" s="44">
        <v>11</v>
      </c>
      <c r="AF28" s="48">
        <v>1.46666666666667</v>
      </c>
      <c r="AG28" s="45">
        <v>11</v>
      </c>
      <c r="AH28" s="45">
        <v>1.46666666666667</v>
      </c>
      <c r="AI28" s="45">
        <v>3</v>
      </c>
      <c r="AJ28" s="45">
        <v>0.4</v>
      </c>
      <c r="AK28" s="48">
        <v>1.9485</v>
      </c>
      <c r="AL28" s="44">
        <v>3.39</v>
      </c>
      <c r="AM28" s="45">
        <v>2.165</v>
      </c>
      <c r="AN28" s="45">
        <v>0</v>
      </c>
      <c r="AO28" s="49"/>
      <c r="AP28" s="49"/>
      <c r="AQ28" s="45">
        <v>0</v>
      </c>
      <c r="AR28" s="51" t="s">
        <v>1011</v>
      </c>
      <c r="AS28" s="52" t="s">
        <v>1012</v>
      </c>
      <c r="AT28" s="53">
        <v>3926909090</v>
      </c>
      <c r="AU28" s="53" t="s">
        <v>950</v>
      </c>
      <c r="AV28" s="53" t="s">
        <v>1013</v>
      </c>
      <c r="AW28" s="54" t="s">
        <v>1014</v>
      </c>
      <c r="AX28" s="3" t="str">
        <f>_xlfn.DISPIMG("ID_B931C45A59B94762B0C519FBACAE8037",1)</f>
        <v>=DISPIMG("ID_B931C45A59B94762B0C519FBACAE8037",1)</v>
      </c>
    </row>
    <row r="29" s="3" customFormat="1" ht="79" customHeight="1" spans="1:50">
      <c r="A29" s="36">
        <v>26</v>
      </c>
      <c r="B29" s="37">
        <v>46175</v>
      </c>
      <c r="C29" s="38" t="s">
        <v>1015</v>
      </c>
      <c r="D29" s="39">
        <v>2551667</v>
      </c>
      <c r="E29" s="40" t="s">
        <v>73</v>
      </c>
      <c r="F29" s="58" t="s">
        <v>579</v>
      </c>
      <c r="G29" s="42"/>
      <c r="H29" s="42" t="s">
        <v>1016</v>
      </c>
      <c r="I29" s="42"/>
      <c r="J29" s="43" t="s">
        <v>1017</v>
      </c>
      <c r="K29" s="42" t="s">
        <v>1018</v>
      </c>
      <c r="L29" s="43"/>
      <c r="M29" s="44">
        <v>13.99</v>
      </c>
      <c r="N29" s="45">
        <v>3.27983333333333</v>
      </c>
      <c r="O29" s="46">
        <v>24.59875</v>
      </c>
      <c r="P29" s="47">
        <v>0.234441267572075</v>
      </c>
      <c r="Q29" s="45">
        <v>3.59983333333333</v>
      </c>
      <c r="R29" s="48">
        <v>26.99875</v>
      </c>
      <c r="S29" s="47">
        <v>0.257314748629974</v>
      </c>
      <c r="T29" s="49" t="s">
        <v>870</v>
      </c>
      <c r="U29" s="49">
        <v>7.5</v>
      </c>
      <c r="V29" s="50">
        <v>0.2</v>
      </c>
      <c r="W29" s="50">
        <v>0.15</v>
      </c>
      <c r="X29" s="44">
        <v>6</v>
      </c>
      <c r="Y29" s="44">
        <v>6</v>
      </c>
      <c r="Z29" s="44">
        <v>3</v>
      </c>
      <c r="AA29" s="45">
        <v>0.018</v>
      </c>
      <c r="AB29" s="44">
        <v>0.06</v>
      </c>
      <c r="AC29" s="49">
        <v>55</v>
      </c>
      <c r="AD29" s="49">
        <v>15</v>
      </c>
      <c r="AE29" s="44">
        <v>21</v>
      </c>
      <c r="AF29" s="48">
        <v>2.8</v>
      </c>
      <c r="AG29" s="45">
        <v>3.3</v>
      </c>
      <c r="AH29" s="45">
        <v>0.44</v>
      </c>
      <c r="AI29" s="45">
        <v>0.9</v>
      </c>
      <c r="AJ29" s="45">
        <v>0.12</v>
      </c>
      <c r="AK29" s="48">
        <v>2.0985</v>
      </c>
      <c r="AL29" s="44">
        <v>3.04</v>
      </c>
      <c r="AM29" s="45">
        <v>2.33166666666667</v>
      </c>
      <c r="AN29" s="45">
        <v>0</v>
      </c>
      <c r="AO29" s="49"/>
      <c r="AP29" s="49"/>
      <c r="AQ29" s="45">
        <v>0</v>
      </c>
      <c r="AR29" s="51" t="s">
        <v>1019</v>
      </c>
      <c r="AS29" s="52" t="s">
        <v>1020</v>
      </c>
      <c r="AT29" s="53">
        <v>8485909000</v>
      </c>
      <c r="AU29" s="53" t="s">
        <v>162</v>
      </c>
      <c r="AV29" s="53" t="s">
        <v>1021</v>
      </c>
      <c r="AW29" s="54" t="s">
        <v>1022</v>
      </c>
    </row>
    <row r="30" s="3" customFormat="1" ht="79" customHeight="1" spans="1:50">
      <c r="A30" s="36">
        <v>27</v>
      </c>
      <c r="B30" s="37">
        <v>46175</v>
      </c>
      <c r="C30" s="38" t="s">
        <v>1023</v>
      </c>
      <c r="D30" s="39">
        <v>2551668</v>
      </c>
      <c r="E30" s="40" t="s">
        <v>73</v>
      </c>
      <c r="F30" s="58" t="s">
        <v>579</v>
      </c>
      <c r="G30" s="42"/>
      <c r="H30" s="42" t="s">
        <v>1016</v>
      </c>
      <c r="I30" s="42"/>
      <c r="J30" s="43" t="s">
        <v>1017</v>
      </c>
      <c r="K30" s="42" t="s">
        <v>1018</v>
      </c>
      <c r="L30" s="43"/>
      <c r="M30" s="44">
        <v>13.99</v>
      </c>
      <c r="N30" s="45">
        <v>3.27983333333333</v>
      </c>
      <c r="O30" s="46">
        <v>24.59875</v>
      </c>
      <c r="P30" s="47">
        <v>0.234441267572075</v>
      </c>
      <c r="Q30" s="45">
        <v>3.59983333333333</v>
      </c>
      <c r="R30" s="48">
        <v>26.99875</v>
      </c>
      <c r="S30" s="47">
        <v>0.257314748629974</v>
      </c>
      <c r="T30" s="49" t="s">
        <v>870</v>
      </c>
      <c r="U30" s="49">
        <v>7.5</v>
      </c>
      <c r="V30" s="50">
        <v>0.2</v>
      </c>
      <c r="W30" s="50">
        <v>0.15</v>
      </c>
      <c r="X30" s="44">
        <v>6</v>
      </c>
      <c r="Y30" s="44">
        <v>6</v>
      </c>
      <c r="Z30" s="44">
        <v>3</v>
      </c>
      <c r="AA30" s="45">
        <v>0.018</v>
      </c>
      <c r="AB30" s="44">
        <v>0.06</v>
      </c>
      <c r="AC30" s="49">
        <v>55</v>
      </c>
      <c r="AD30" s="49">
        <v>15</v>
      </c>
      <c r="AE30" s="44">
        <v>21</v>
      </c>
      <c r="AF30" s="48">
        <v>2.8</v>
      </c>
      <c r="AG30" s="45">
        <v>3.3</v>
      </c>
      <c r="AH30" s="45">
        <v>0.44</v>
      </c>
      <c r="AI30" s="45">
        <v>0.9</v>
      </c>
      <c r="AJ30" s="45">
        <v>0.12</v>
      </c>
      <c r="AK30" s="48">
        <v>2.0985</v>
      </c>
      <c r="AL30" s="44">
        <v>3.04</v>
      </c>
      <c r="AM30" s="45">
        <v>2.33166666666667</v>
      </c>
      <c r="AN30" s="45">
        <v>0</v>
      </c>
      <c r="AO30" s="49"/>
      <c r="AP30" s="49"/>
      <c r="AQ30" s="45">
        <v>0</v>
      </c>
      <c r="AR30" s="51" t="s">
        <v>1019</v>
      </c>
      <c r="AS30" s="52" t="s">
        <v>1020</v>
      </c>
      <c r="AT30" s="53">
        <v>8485909000</v>
      </c>
      <c r="AU30" s="53" t="s">
        <v>162</v>
      </c>
      <c r="AV30" s="53" t="s">
        <v>1021</v>
      </c>
      <c r="AW30" s="54" t="s">
        <v>1022</v>
      </c>
    </row>
    <row r="31" s="3" customFormat="1" ht="79" customHeight="1" spans="1:50">
      <c r="A31" s="36">
        <v>28</v>
      </c>
      <c r="B31" s="37">
        <v>46175</v>
      </c>
      <c r="C31" s="38" t="s">
        <v>1024</v>
      </c>
      <c r="D31" s="39">
        <v>2551669</v>
      </c>
      <c r="E31" s="40" t="s">
        <v>73</v>
      </c>
      <c r="F31" s="58" t="s">
        <v>579</v>
      </c>
      <c r="G31" s="42"/>
      <c r="H31" s="42" t="s">
        <v>1016</v>
      </c>
      <c r="I31" s="42"/>
      <c r="J31" s="43" t="s">
        <v>1017</v>
      </c>
      <c r="K31" s="42" t="s">
        <v>1018</v>
      </c>
      <c r="L31" s="43"/>
      <c r="M31" s="44">
        <v>13.99</v>
      </c>
      <c r="N31" s="45">
        <v>3.27983333333333</v>
      </c>
      <c r="O31" s="46">
        <v>24.59875</v>
      </c>
      <c r="P31" s="47">
        <v>0.234441267572075</v>
      </c>
      <c r="Q31" s="45">
        <v>3.59983333333333</v>
      </c>
      <c r="R31" s="48">
        <v>26.99875</v>
      </c>
      <c r="S31" s="47">
        <v>0.257314748629974</v>
      </c>
      <c r="T31" s="49" t="s">
        <v>870</v>
      </c>
      <c r="U31" s="49">
        <v>7.5</v>
      </c>
      <c r="V31" s="50">
        <v>0.2</v>
      </c>
      <c r="W31" s="50">
        <v>0.15</v>
      </c>
      <c r="X31" s="44">
        <v>6</v>
      </c>
      <c r="Y31" s="44">
        <v>6</v>
      </c>
      <c r="Z31" s="44">
        <v>3</v>
      </c>
      <c r="AA31" s="45">
        <v>0.018</v>
      </c>
      <c r="AB31" s="44">
        <v>0.06</v>
      </c>
      <c r="AC31" s="49">
        <v>55</v>
      </c>
      <c r="AD31" s="49">
        <v>15</v>
      </c>
      <c r="AE31" s="44">
        <v>21</v>
      </c>
      <c r="AF31" s="48">
        <v>2.8</v>
      </c>
      <c r="AG31" s="45">
        <v>3.3</v>
      </c>
      <c r="AH31" s="45">
        <v>0.44</v>
      </c>
      <c r="AI31" s="45">
        <v>0.9</v>
      </c>
      <c r="AJ31" s="45">
        <v>0.12</v>
      </c>
      <c r="AK31" s="48">
        <v>2.0985</v>
      </c>
      <c r="AL31" s="44">
        <v>3.04</v>
      </c>
      <c r="AM31" s="45">
        <v>2.33166666666667</v>
      </c>
      <c r="AN31" s="45">
        <v>0</v>
      </c>
      <c r="AO31" s="49"/>
      <c r="AP31" s="49"/>
      <c r="AQ31" s="45">
        <v>0</v>
      </c>
      <c r="AR31" s="51" t="s">
        <v>1019</v>
      </c>
      <c r="AS31" s="52" t="s">
        <v>1020</v>
      </c>
      <c r="AT31" s="53">
        <v>8485909000</v>
      </c>
      <c r="AU31" s="53" t="s">
        <v>162</v>
      </c>
      <c r="AV31" s="53" t="s">
        <v>1021</v>
      </c>
      <c r="AW31" s="54" t="s">
        <v>1022</v>
      </c>
    </row>
    <row r="32" s="3" customFormat="1" ht="79" customHeight="1" spans="1:50">
      <c r="A32" s="36">
        <v>29</v>
      </c>
      <c r="B32" s="37">
        <v>46175</v>
      </c>
      <c r="C32" s="38" t="s">
        <v>1025</v>
      </c>
      <c r="D32" s="39">
        <v>2551670</v>
      </c>
      <c r="E32" s="40" t="s">
        <v>73</v>
      </c>
      <c r="F32" s="58" t="s">
        <v>579</v>
      </c>
      <c r="G32" s="42"/>
      <c r="H32" s="42"/>
      <c r="I32" s="42"/>
      <c r="J32" s="43" t="s">
        <v>1026</v>
      </c>
      <c r="K32" s="42" t="s">
        <v>1027</v>
      </c>
      <c r="L32" s="43"/>
      <c r="M32" s="44">
        <v>9.99</v>
      </c>
      <c r="N32" s="45">
        <v>1.98316666666667</v>
      </c>
      <c r="O32" s="46">
        <v>14.87375</v>
      </c>
      <c r="P32" s="47">
        <v>0.198515181848515</v>
      </c>
      <c r="Q32" s="45">
        <v>2.70316666666667</v>
      </c>
      <c r="R32" s="48">
        <v>20.27375</v>
      </c>
      <c r="S32" s="47">
        <v>0.270587253920587</v>
      </c>
      <c r="T32" s="49" t="s">
        <v>870</v>
      </c>
      <c r="U32" s="49">
        <v>7.5</v>
      </c>
      <c r="V32" s="50">
        <v>0.2</v>
      </c>
      <c r="W32" s="50">
        <v>0.15</v>
      </c>
      <c r="X32" s="44">
        <v>18</v>
      </c>
      <c r="Y32" s="44">
        <v>18</v>
      </c>
      <c r="Z32" s="44">
        <v>2.5</v>
      </c>
      <c r="AA32" s="45">
        <v>0.135</v>
      </c>
      <c r="AB32" s="44">
        <v>0.05</v>
      </c>
      <c r="AC32" s="49">
        <v>55</v>
      </c>
      <c r="AD32" s="49">
        <v>15</v>
      </c>
      <c r="AE32" s="44">
        <v>14.5</v>
      </c>
      <c r="AF32" s="48">
        <v>1.93333333333333</v>
      </c>
      <c r="AG32" s="45">
        <v>7.425</v>
      </c>
      <c r="AH32" s="45">
        <v>0.99</v>
      </c>
      <c r="AI32" s="45">
        <v>2.025</v>
      </c>
      <c r="AJ32" s="45">
        <v>0.27</v>
      </c>
      <c r="AK32" s="48">
        <v>1.4985</v>
      </c>
      <c r="AL32" s="44">
        <v>1.92</v>
      </c>
      <c r="AM32" s="45">
        <v>1.665</v>
      </c>
      <c r="AN32" s="45">
        <v>0</v>
      </c>
      <c r="AO32" s="49"/>
      <c r="AP32" s="49"/>
      <c r="AQ32" s="45">
        <v>0</v>
      </c>
      <c r="AR32" s="51" t="s">
        <v>1028</v>
      </c>
      <c r="AS32" s="52" t="s">
        <v>1029</v>
      </c>
      <c r="AT32" s="53">
        <v>9506290000</v>
      </c>
      <c r="AU32" s="53" t="s">
        <v>1030</v>
      </c>
      <c r="AV32" s="53" t="s">
        <v>1031</v>
      </c>
      <c r="AW32" s="54" t="s">
        <v>1032</v>
      </c>
    </row>
    <row r="33" s="3" customFormat="1" ht="79" customHeight="1" spans="1:50">
      <c r="A33" s="36">
        <v>30</v>
      </c>
      <c r="B33" s="37">
        <v>46175</v>
      </c>
      <c r="C33" s="38" t="s">
        <v>1033</v>
      </c>
      <c r="D33" s="39">
        <v>2551655</v>
      </c>
      <c r="E33" s="40" t="s">
        <v>73</v>
      </c>
      <c r="F33" s="58" t="s">
        <v>579</v>
      </c>
      <c r="G33" s="42"/>
      <c r="H33" s="42"/>
      <c r="I33" s="42"/>
      <c r="J33" s="43" t="s">
        <v>1034</v>
      </c>
      <c r="K33" s="42" t="s">
        <v>1035</v>
      </c>
      <c r="L33" s="43"/>
      <c r="M33" s="44">
        <v>15.99</v>
      </c>
      <c r="N33" s="45">
        <v>3.19316666666667</v>
      </c>
      <c r="O33" s="46">
        <v>23.94875</v>
      </c>
      <c r="P33" s="47">
        <v>0.199697727746508</v>
      </c>
      <c r="Q33" s="45">
        <v>5.21983333333333</v>
      </c>
      <c r="R33" s="48">
        <v>39.14875</v>
      </c>
      <c r="S33" s="47">
        <v>0.326443610589952</v>
      </c>
      <c r="T33" s="49" t="s">
        <v>870</v>
      </c>
      <c r="U33" s="49">
        <v>7.5</v>
      </c>
      <c r="V33" s="50">
        <v>0.2</v>
      </c>
      <c r="W33" s="50">
        <v>0.15</v>
      </c>
      <c r="X33" s="44">
        <v>25</v>
      </c>
      <c r="Y33" s="44">
        <v>15</v>
      </c>
      <c r="Z33" s="44">
        <v>0.5</v>
      </c>
      <c r="AA33" s="45">
        <v>0.03125</v>
      </c>
      <c r="AB33" s="44">
        <v>0.38</v>
      </c>
      <c r="AC33" s="49">
        <v>55</v>
      </c>
      <c r="AD33" s="49">
        <v>15</v>
      </c>
      <c r="AE33" s="44">
        <v>17</v>
      </c>
      <c r="AF33" s="48">
        <v>2.26666666666667</v>
      </c>
      <c r="AG33" s="45">
        <v>20.9</v>
      </c>
      <c r="AH33" s="45">
        <v>2.78666666666667</v>
      </c>
      <c r="AI33" s="45">
        <v>5.7</v>
      </c>
      <c r="AJ33" s="45">
        <v>0.76</v>
      </c>
      <c r="AK33" s="48">
        <v>2.3985</v>
      </c>
      <c r="AL33" s="44">
        <v>2.68</v>
      </c>
      <c r="AM33" s="45">
        <v>2.665</v>
      </c>
      <c r="AN33" s="45">
        <v>0</v>
      </c>
      <c r="AO33" s="49"/>
      <c r="AP33" s="49"/>
      <c r="AQ33" s="45">
        <v>0</v>
      </c>
      <c r="AR33" s="51" t="s">
        <v>231</v>
      </c>
      <c r="AS33" s="52" t="s">
        <v>232</v>
      </c>
      <c r="AT33" s="53">
        <v>8505190090</v>
      </c>
      <c r="AU33" s="53" t="s">
        <v>233</v>
      </c>
      <c r="AV33" s="53" t="s">
        <v>234</v>
      </c>
      <c r="AW33" s="54" t="s">
        <v>235</v>
      </c>
    </row>
    <row r="34" s="3" customFormat="1" ht="79" customHeight="1" spans="1:50">
      <c r="A34" s="36">
        <v>31</v>
      </c>
      <c r="B34" s="37">
        <v>46175</v>
      </c>
      <c r="C34" s="38" t="s">
        <v>1036</v>
      </c>
      <c r="D34" s="39">
        <v>2620061</v>
      </c>
      <c r="E34" s="40" t="s">
        <v>428</v>
      </c>
      <c r="F34" s="58" t="s">
        <v>579</v>
      </c>
      <c r="G34" s="42"/>
      <c r="H34" s="42" t="s">
        <v>1037</v>
      </c>
      <c r="I34" s="42"/>
      <c r="J34" s="43" t="s">
        <v>1038</v>
      </c>
      <c r="K34" s="42"/>
      <c r="L34" s="43" t="s">
        <v>1039</v>
      </c>
      <c r="M34" s="44">
        <v>7.99</v>
      </c>
      <c r="N34" s="45">
        <f t="shared" ref="N34:N37" si="28">M34-SUM(AF34+AH34+AK34+AL34+AM34+AN34+AQ34)</f>
        <v>1.56316666666667</v>
      </c>
      <c r="O34" s="46">
        <f t="shared" ref="O34:O37" si="29">N34*U34</f>
        <v>11.72375</v>
      </c>
      <c r="P34" s="47">
        <f t="shared" ref="P34:P37" si="30">N34/M34</f>
        <v>0.1956403838131</v>
      </c>
      <c r="Q34" s="45">
        <f t="shared" ref="Q34:Q37" si="31">M34-SUM(AF34+AJ34+AK34+AL34+AM34+AN34+AO34+AP34+AQ34)</f>
        <v>2.04316666666667</v>
      </c>
      <c r="R34" s="48">
        <f t="shared" ref="R34:R37" si="32">Q34*U34</f>
        <v>15.32375</v>
      </c>
      <c r="S34" s="47">
        <f t="shared" ref="S34:S37" si="33">Q34/M34</f>
        <v>0.255715477680434</v>
      </c>
      <c r="T34" s="49" t="s">
        <v>870</v>
      </c>
      <c r="U34" s="49">
        <v>7.5</v>
      </c>
      <c r="V34" s="50">
        <v>0.2</v>
      </c>
      <c r="W34" s="50">
        <v>0.15</v>
      </c>
      <c r="X34" s="44">
        <v>11</v>
      </c>
      <c r="Y34" s="44">
        <v>14</v>
      </c>
      <c r="Z34" s="44">
        <v>1</v>
      </c>
      <c r="AA34" s="45">
        <f t="shared" ref="AA34:AA37" si="34">X34*Y34*Z34/6000</f>
        <v>0.0256666666666667</v>
      </c>
      <c r="AB34" s="44">
        <v>0.09</v>
      </c>
      <c r="AC34" s="49">
        <v>55</v>
      </c>
      <c r="AD34" s="49">
        <v>15</v>
      </c>
      <c r="AE34" s="44">
        <v>8.6</v>
      </c>
      <c r="AF34" s="48">
        <f t="shared" ref="AF34:AF37" si="35">AE34/U34</f>
        <v>1.14666666666667</v>
      </c>
      <c r="AG34" s="45">
        <f t="shared" ref="AG34:AG37" si="36">AC34*MAX(AA34:AB34)</f>
        <v>4.95</v>
      </c>
      <c r="AH34" s="45">
        <f t="shared" ref="AH34:AH37" si="37">AG34/U34</f>
        <v>0.66</v>
      </c>
      <c r="AI34" s="45">
        <f t="shared" ref="AI34:AI37" si="38">AD34*MAX(AA34:AB34)</f>
        <v>1.35</v>
      </c>
      <c r="AJ34" s="45">
        <f t="shared" ref="AJ34:AJ37" si="39">AI34/U34</f>
        <v>0.18</v>
      </c>
      <c r="AK34" s="48">
        <f t="shared" ref="AK34:AK37" si="40">M34*W34</f>
        <v>1.1985</v>
      </c>
      <c r="AL34" s="44">
        <v>2.09</v>
      </c>
      <c r="AM34" s="45">
        <f t="shared" ref="AM34:AM37" si="41">M34/1.2*0.2</f>
        <v>1.33166666666667</v>
      </c>
      <c r="AN34" s="45">
        <v>0</v>
      </c>
      <c r="AO34" s="49"/>
      <c r="AP34" s="49"/>
      <c r="AQ34" s="45">
        <v>0</v>
      </c>
      <c r="AR34" s="51" t="s">
        <v>1040</v>
      </c>
      <c r="AS34" s="52" t="s">
        <v>1041</v>
      </c>
      <c r="AT34" s="53">
        <v>3926909090</v>
      </c>
      <c r="AU34" s="53" t="s">
        <v>112</v>
      </c>
      <c r="AV34" s="53" t="s">
        <v>821</v>
      </c>
      <c r="AW34" s="54" t="s">
        <v>1042</v>
      </c>
    </row>
    <row r="35" s="3" customFormat="1" ht="79" customHeight="1" spans="1:50">
      <c r="A35" s="36">
        <v>32</v>
      </c>
      <c r="B35" s="37">
        <v>46175</v>
      </c>
      <c r="C35" s="38" t="s">
        <v>1043</v>
      </c>
      <c r="D35" s="39">
        <v>2620229</v>
      </c>
      <c r="E35" s="40" t="s">
        <v>428</v>
      </c>
      <c r="F35" s="42"/>
      <c r="G35" s="42"/>
      <c r="H35" s="42" t="s">
        <v>1037</v>
      </c>
      <c r="I35" s="42"/>
      <c r="J35" s="43" t="s">
        <v>1038</v>
      </c>
      <c r="K35" s="42"/>
      <c r="L35" s="43" t="s">
        <v>1039</v>
      </c>
      <c r="M35" s="44">
        <v>7.99</v>
      </c>
      <c r="N35" s="45">
        <f t="shared" si="28"/>
        <v>1.56316666666667</v>
      </c>
      <c r="O35" s="46">
        <f t="shared" si="29"/>
        <v>11.72375</v>
      </c>
      <c r="P35" s="47">
        <f t="shared" si="30"/>
        <v>0.1956403838131</v>
      </c>
      <c r="Q35" s="45">
        <f t="shared" si="31"/>
        <v>2.04316666666667</v>
      </c>
      <c r="R35" s="48">
        <f t="shared" si="32"/>
        <v>15.32375</v>
      </c>
      <c r="S35" s="47">
        <f t="shared" si="33"/>
        <v>0.255715477680434</v>
      </c>
      <c r="T35" s="49" t="s">
        <v>870</v>
      </c>
      <c r="U35" s="49">
        <v>7.5</v>
      </c>
      <c r="V35" s="50">
        <v>0.2</v>
      </c>
      <c r="W35" s="50">
        <v>0.15</v>
      </c>
      <c r="X35" s="44">
        <v>11</v>
      </c>
      <c r="Y35" s="44">
        <v>14</v>
      </c>
      <c r="Z35" s="44">
        <v>1</v>
      </c>
      <c r="AA35" s="45">
        <f t="shared" si="34"/>
        <v>0.0256666666666667</v>
      </c>
      <c r="AB35" s="44">
        <v>0.09</v>
      </c>
      <c r="AC35" s="49">
        <v>55</v>
      </c>
      <c r="AD35" s="49">
        <v>15</v>
      </c>
      <c r="AE35" s="44">
        <v>8.6</v>
      </c>
      <c r="AF35" s="48">
        <f t="shared" si="35"/>
        <v>1.14666666666667</v>
      </c>
      <c r="AG35" s="45">
        <f t="shared" si="36"/>
        <v>4.95</v>
      </c>
      <c r="AH35" s="45">
        <f t="shared" si="37"/>
        <v>0.66</v>
      </c>
      <c r="AI35" s="45">
        <f t="shared" si="38"/>
        <v>1.35</v>
      </c>
      <c r="AJ35" s="45">
        <f t="shared" si="39"/>
        <v>0.18</v>
      </c>
      <c r="AK35" s="48">
        <f t="shared" si="40"/>
        <v>1.1985</v>
      </c>
      <c r="AL35" s="44">
        <v>2.09</v>
      </c>
      <c r="AM35" s="45">
        <f t="shared" si="41"/>
        <v>1.33166666666667</v>
      </c>
      <c r="AN35" s="45">
        <v>0</v>
      </c>
      <c r="AO35" s="49"/>
      <c r="AP35" s="49"/>
      <c r="AQ35" s="45">
        <v>0</v>
      </c>
      <c r="AR35" s="51" t="s">
        <v>1040</v>
      </c>
      <c r="AS35" s="52" t="s">
        <v>1041</v>
      </c>
      <c r="AT35" s="53">
        <v>3926909090</v>
      </c>
      <c r="AU35" s="53" t="s">
        <v>112</v>
      </c>
      <c r="AV35" s="53" t="s">
        <v>821</v>
      </c>
      <c r="AW35" s="54" t="s">
        <v>1042</v>
      </c>
    </row>
    <row r="36" s="3" customFormat="1" ht="79" customHeight="1" spans="1:50">
      <c r="A36" s="36">
        <v>33</v>
      </c>
      <c r="B36" s="37">
        <v>46175</v>
      </c>
      <c r="C36" s="38" t="s">
        <v>1044</v>
      </c>
      <c r="D36" s="39">
        <v>2620513</v>
      </c>
      <c r="E36" s="40" t="s">
        <v>428</v>
      </c>
      <c r="F36" s="42"/>
      <c r="G36" s="42"/>
      <c r="H36" s="42" t="s">
        <v>1045</v>
      </c>
      <c r="I36" s="42"/>
      <c r="J36" s="43" t="s">
        <v>1046</v>
      </c>
      <c r="K36" s="42" t="s">
        <v>1047</v>
      </c>
      <c r="L36" s="43" t="s">
        <v>1048</v>
      </c>
      <c r="M36" s="44">
        <v>7.99</v>
      </c>
      <c r="N36" s="45">
        <f t="shared" si="28"/>
        <v>2.0865</v>
      </c>
      <c r="O36" s="46">
        <f t="shared" si="29"/>
        <v>15.64875</v>
      </c>
      <c r="P36" s="47">
        <f t="shared" si="30"/>
        <v>0.261138923654568</v>
      </c>
      <c r="Q36" s="45">
        <f t="shared" si="31"/>
        <v>2.7265</v>
      </c>
      <c r="R36" s="48">
        <f t="shared" si="32"/>
        <v>20.44875</v>
      </c>
      <c r="S36" s="47">
        <f t="shared" si="33"/>
        <v>0.341239048811014</v>
      </c>
      <c r="T36" s="49" t="s">
        <v>870</v>
      </c>
      <c r="U36" s="49">
        <v>7.5</v>
      </c>
      <c r="V36" s="50">
        <v>0.2</v>
      </c>
      <c r="W36" s="50">
        <v>0.15</v>
      </c>
      <c r="X36" s="44">
        <v>11</v>
      </c>
      <c r="Y36" s="44">
        <v>10</v>
      </c>
      <c r="Z36" s="44">
        <v>5.5</v>
      </c>
      <c r="AA36" s="45">
        <f t="shared" si="34"/>
        <v>0.100833333333333</v>
      </c>
      <c r="AB36" s="44">
        <v>0.12</v>
      </c>
      <c r="AC36" s="49">
        <v>55</v>
      </c>
      <c r="AD36" s="49">
        <v>15</v>
      </c>
      <c r="AE36" s="44">
        <v>2.8</v>
      </c>
      <c r="AF36" s="48">
        <f t="shared" si="35"/>
        <v>0.373333333333333</v>
      </c>
      <c r="AG36" s="45">
        <f t="shared" si="36"/>
        <v>6.6</v>
      </c>
      <c r="AH36" s="45">
        <f t="shared" si="37"/>
        <v>0.88</v>
      </c>
      <c r="AI36" s="45">
        <f t="shared" si="38"/>
        <v>1.8</v>
      </c>
      <c r="AJ36" s="45">
        <f t="shared" si="39"/>
        <v>0.24</v>
      </c>
      <c r="AK36" s="48">
        <f t="shared" si="40"/>
        <v>1.1985</v>
      </c>
      <c r="AL36" s="44">
        <v>2.12</v>
      </c>
      <c r="AM36" s="45">
        <f t="shared" si="41"/>
        <v>1.33166666666667</v>
      </c>
      <c r="AN36" s="45">
        <v>0</v>
      </c>
      <c r="AO36" s="49"/>
      <c r="AP36" s="49"/>
      <c r="AQ36" s="45">
        <v>0</v>
      </c>
      <c r="AR36" s="51" t="s">
        <v>1049</v>
      </c>
      <c r="AS36" s="52" t="s">
        <v>1050</v>
      </c>
      <c r="AT36" s="53">
        <v>9503008900</v>
      </c>
      <c r="AU36" s="53" t="s">
        <v>112</v>
      </c>
      <c r="AV36" s="53" t="s">
        <v>1051</v>
      </c>
      <c r="AW36" s="54" t="s">
        <v>1052</v>
      </c>
    </row>
    <row r="37" s="3" customFormat="1" ht="79" customHeight="1" spans="1:50">
      <c r="A37" s="36">
        <v>34</v>
      </c>
      <c r="B37" s="37">
        <v>46175</v>
      </c>
      <c r="C37" s="38" t="s">
        <v>1053</v>
      </c>
      <c r="D37" s="39">
        <v>2620386</v>
      </c>
      <c r="E37" s="40" t="s">
        <v>428</v>
      </c>
      <c r="F37" s="58" t="s">
        <v>579</v>
      </c>
      <c r="G37" s="42"/>
      <c r="H37" s="58" t="s">
        <v>1054</v>
      </c>
      <c r="I37" s="42" t="s">
        <v>129</v>
      </c>
      <c r="J37" s="43" t="s">
        <v>1055</v>
      </c>
      <c r="K37" s="42"/>
      <c r="L37" s="43"/>
      <c r="M37" s="44">
        <v>6.99</v>
      </c>
      <c r="N37" s="45">
        <f t="shared" si="28"/>
        <v>2.28316666666667</v>
      </c>
      <c r="O37" s="46">
        <f t="shared" si="29"/>
        <v>17.12375</v>
      </c>
      <c r="P37" s="47">
        <f t="shared" si="30"/>
        <v>0.326633285646161</v>
      </c>
      <c r="Q37" s="45">
        <f t="shared" si="31"/>
        <v>2.60316666666667</v>
      </c>
      <c r="R37" s="48">
        <f t="shared" si="32"/>
        <v>19.52375</v>
      </c>
      <c r="S37" s="47">
        <f t="shared" si="33"/>
        <v>0.372412970910825</v>
      </c>
      <c r="T37" s="49" t="s">
        <v>870</v>
      </c>
      <c r="U37" s="49">
        <v>7.5</v>
      </c>
      <c r="V37" s="50">
        <v>0.2</v>
      </c>
      <c r="W37" s="50">
        <v>0.15</v>
      </c>
      <c r="X37" s="44">
        <v>20</v>
      </c>
      <c r="Y37" s="44">
        <v>20</v>
      </c>
      <c r="Z37" s="44">
        <v>0.2</v>
      </c>
      <c r="AA37" s="45">
        <f t="shared" si="34"/>
        <v>0.0133333333333333</v>
      </c>
      <c r="AB37" s="44">
        <v>0.06</v>
      </c>
      <c r="AC37" s="49">
        <v>55</v>
      </c>
      <c r="AD37" s="49">
        <v>15</v>
      </c>
      <c r="AE37" s="44">
        <v>4</v>
      </c>
      <c r="AF37" s="48">
        <f t="shared" si="35"/>
        <v>0.533333333333333</v>
      </c>
      <c r="AG37" s="45">
        <f t="shared" si="36"/>
        <v>3.3</v>
      </c>
      <c r="AH37" s="45">
        <f t="shared" si="37"/>
        <v>0.44</v>
      </c>
      <c r="AI37" s="45">
        <f t="shared" si="38"/>
        <v>0.9</v>
      </c>
      <c r="AJ37" s="45">
        <f t="shared" si="39"/>
        <v>0.12</v>
      </c>
      <c r="AK37" s="48">
        <f t="shared" si="40"/>
        <v>1.0485</v>
      </c>
      <c r="AL37" s="44">
        <v>1.52</v>
      </c>
      <c r="AM37" s="45">
        <f t="shared" si="41"/>
        <v>1.165</v>
      </c>
      <c r="AN37" s="45">
        <v>0</v>
      </c>
      <c r="AO37" s="49"/>
      <c r="AP37" s="49"/>
      <c r="AQ37" s="45">
        <v>0</v>
      </c>
      <c r="AR37" s="51" t="s">
        <v>431</v>
      </c>
      <c r="AS37" s="52" t="s">
        <v>63</v>
      </c>
      <c r="AT37" s="53">
        <v>3926400000</v>
      </c>
      <c r="AU37" s="53" t="s">
        <v>64</v>
      </c>
      <c r="AV37" s="53" t="s">
        <v>65</v>
      </c>
      <c r="AW37" s="54" t="s">
        <v>66</v>
      </c>
      <c r="AX37" s="3" t="s">
        <v>442</v>
      </c>
    </row>
    <row r="38" s="3" customFormat="1" ht="79" customHeight="1" spans="1:50">
      <c r="A38" s="36">
        <v>35</v>
      </c>
      <c r="B38" s="37">
        <v>46175</v>
      </c>
      <c r="C38" s="38" t="s">
        <v>1056</v>
      </c>
      <c r="D38" s="39">
        <v>2561481</v>
      </c>
      <c r="E38" s="40" t="s">
        <v>555</v>
      </c>
      <c r="F38" s="58" t="s">
        <v>579</v>
      </c>
      <c r="G38" s="42"/>
      <c r="H38" s="60" t="s">
        <v>1057</v>
      </c>
      <c r="I38" s="42"/>
      <c r="J38" s="43" t="s">
        <v>1058</v>
      </c>
      <c r="K38" s="42" t="s">
        <v>1059</v>
      </c>
      <c r="L38" s="43" t="s">
        <v>1060</v>
      </c>
      <c r="M38" s="44">
        <v>11.99</v>
      </c>
      <c r="N38" s="45">
        <f t="shared" ref="N38:N52" si="42">M38-SUM(AF38+AH38+AK38+AL38+AM38+AN38+AQ38)</f>
        <v>2.59034722222222</v>
      </c>
      <c r="O38" s="46">
        <f t="shared" ref="O38:O52" si="43">N38*U38</f>
        <v>19.4276041666667</v>
      </c>
      <c r="P38" s="47">
        <f t="shared" ref="P38:P52" si="44">N38/M38</f>
        <v>0.216042303771662</v>
      </c>
      <c r="Q38" s="45">
        <f t="shared" ref="Q38:Q52" si="45">M38-SUM(AF38+AJ38+AK38+AL38+AM38+AN38+AO38+AP38+AQ38)</f>
        <v>2.985125</v>
      </c>
      <c r="R38" s="48">
        <f t="shared" ref="R38:R52" si="46">Q38*U38</f>
        <v>22.3884375</v>
      </c>
      <c r="S38" s="47">
        <f t="shared" ref="S38:S52" si="47">Q38/M38</f>
        <v>0.248967889908257</v>
      </c>
      <c r="T38" s="49" t="s">
        <v>870</v>
      </c>
      <c r="U38" s="49">
        <v>7.5</v>
      </c>
      <c r="V38" s="50">
        <v>0.2</v>
      </c>
      <c r="W38" s="50">
        <v>0.15</v>
      </c>
      <c r="X38" s="44">
        <v>9.5</v>
      </c>
      <c r="Y38" s="44">
        <v>8.5</v>
      </c>
      <c r="Z38" s="44">
        <v>5.5</v>
      </c>
      <c r="AA38" s="45">
        <f t="shared" ref="AA38:AA52" si="48">X38*Y38*Z38/6000</f>
        <v>0.0740208333333333</v>
      </c>
      <c r="AB38" s="44">
        <v>0.03</v>
      </c>
      <c r="AC38" s="49">
        <v>55</v>
      </c>
      <c r="AD38" s="49">
        <v>15</v>
      </c>
      <c r="AE38" s="44">
        <v>12.3</v>
      </c>
      <c r="AF38" s="48">
        <f t="shared" ref="AF38:AF52" si="49">AE38/U38</f>
        <v>1.64</v>
      </c>
      <c r="AG38" s="45">
        <f t="shared" ref="AG38:AG52" si="50">AC38*MAX(AA38:AB38)</f>
        <v>4.07114583333333</v>
      </c>
      <c r="AH38" s="45">
        <f t="shared" ref="AH38:AH52" si="51">AG38/U38</f>
        <v>0.542819444444444</v>
      </c>
      <c r="AI38" s="45">
        <f t="shared" ref="AI38:AI52" si="52">AD38*MAX(AA38:AB38)</f>
        <v>1.1103125</v>
      </c>
      <c r="AJ38" s="45">
        <f t="shared" ref="AJ38:AJ52" si="53">AI38/U38</f>
        <v>0.148041666666667</v>
      </c>
      <c r="AK38" s="48">
        <f t="shared" ref="AK38:AK52" si="54">M38*W38</f>
        <v>1.7985</v>
      </c>
      <c r="AL38" s="44">
        <v>3.42</v>
      </c>
      <c r="AM38" s="45">
        <f t="shared" ref="AM38:AM52" si="55">M38/1.2*0.2</f>
        <v>1.99833333333333</v>
      </c>
      <c r="AN38" s="45">
        <v>0</v>
      </c>
      <c r="AO38" s="49"/>
      <c r="AP38" s="49"/>
      <c r="AQ38" s="45">
        <v>0</v>
      </c>
      <c r="AR38" s="51" t="s">
        <v>586</v>
      </c>
      <c r="AS38" s="52" t="s">
        <v>89</v>
      </c>
      <c r="AT38" s="53">
        <v>9503002190</v>
      </c>
      <c r="AU38" s="53" t="s">
        <v>587</v>
      </c>
      <c r="AV38" s="53" t="s">
        <v>588</v>
      </c>
      <c r="AW38" s="54" t="s">
        <v>589</v>
      </c>
    </row>
    <row r="39" s="3" customFormat="1" ht="79" customHeight="1" spans="1:50">
      <c r="A39" s="36">
        <v>36</v>
      </c>
      <c r="B39" s="37">
        <v>46175</v>
      </c>
      <c r="C39" s="38" t="s">
        <v>1061</v>
      </c>
      <c r="D39" s="39">
        <v>2561482</v>
      </c>
      <c r="E39" s="40" t="s">
        <v>555</v>
      </c>
      <c r="F39" s="42"/>
      <c r="G39" s="42"/>
      <c r="H39" s="61"/>
      <c r="I39" s="42"/>
      <c r="J39" s="43" t="s">
        <v>1058</v>
      </c>
      <c r="K39" s="42" t="s">
        <v>1059</v>
      </c>
      <c r="L39" s="43" t="s">
        <v>1060</v>
      </c>
      <c r="M39" s="44">
        <v>11.99</v>
      </c>
      <c r="N39" s="45">
        <f t="shared" si="42"/>
        <v>2.59034722222222</v>
      </c>
      <c r="O39" s="46">
        <f t="shared" si="43"/>
        <v>19.4276041666667</v>
      </c>
      <c r="P39" s="47">
        <f t="shared" si="44"/>
        <v>0.216042303771662</v>
      </c>
      <c r="Q39" s="45">
        <f t="shared" si="45"/>
        <v>2.985125</v>
      </c>
      <c r="R39" s="48">
        <f t="shared" si="46"/>
        <v>22.3884375</v>
      </c>
      <c r="S39" s="47">
        <f t="shared" si="47"/>
        <v>0.248967889908257</v>
      </c>
      <c r="T39" s="49" t="s">
        <v>870</v>
      </c>
      <c r="U39" s="49">
        <v>7.5</v>
      </c>
      <c r="V39" s="50">
        <v>0.2</v>
      </c>
      <c r="W39" s="50">
        <v>0.15</v>
      </c>
      <c r="X39" s="44">
        <v>9.5</v>
      </c>
      <c r="Y39" s="44">
        <v>8.5</v>
      </c>
      <c r="Z39" s="44">
        <v>5.5</v>
      </c>
      <c r="AA39" s="45">
        <f t="shared" si="48"/>
        <v>0.0740208333333333</v>
      </c>
      <c r="AB39" s="44">
        <v>0.03</v>
      </c>
      <c r="AC39" s="49">
        <v>55</v>
      </c>
      <c r="AD39" s="49">
        <v>15</v>
      </c>
      <c r="AE39" s="44">
        <v>12.3</v>
      </c>
      <c r="AF39" s="48">
        <f t="shared" si="49"/>
        <v>1.64</v>
      </c>
      <c r="AG39" s="45">
        <f t="shared" si="50"/>
        <v>4.07114583333333</v>
      </c>
      <c r="AH39" s="45">
        <f t="shared" si="51"/>
        <v>0.542819444444444</v>
      </c>
      <c r="AI39" s="45">
        <f t="shared" si="52"/>
        <v>1.1103125</v>
      </c>
      <c r="AJ39" s="45">
        <f t="shared" si="53"/>
        <v>0.148041666666667</v>
      </c>
      <c r="AK39" s="48">
        <f t="shared" si="54"/>
        <v>1.7985</v>
      </c>
      <c r="AL39" s="44">
        <v>3.42</v>
      </c>
      <c r="AM39" s="45">
        <f t="shared" si="55"/>
        <v>1.99833333333333</v>
      </c>
      <c r="AN39" s="45">
        <v>0</v>
      </c>
      <c r="AO39" s="49"/>
      <c r="AP39" s="49"/>
      <c r="AQ39" s="45">
        <v>0</v>
      </c>
      <c r="AR39" s="51" t="s">
        <v>586</v>
      </c>
      <c r="AS39" s="52" t="s">
        <v>89</v>
      </c>
      <c r="AT39" s="53">
        <v>9503002190</v>
      </c>
      <c r="AU39" s="53" t="s">
        <v>587</v>
      </c>
      <c r="AV39" s="53" t="s">
        <v>588</v>
      </c>
      <c r="AW39" s="54" t="s">
        <v>589</v>
      </c>
    </row>
    <row r="40" s="3" customFormat="1" ht="79" customHeight="1" spans="1:50">
      <c r="A40" s="36">
        <v>37</v>
      </c>
      <c r="B40" s="37">
        <v>46175</v>
      </c>
      <c r="C40" s="38" t="s">
        <v>1062</v>
      </c>
      <c r="D40" s="39">
        <v>2561483</v>
      </c>
      <c r="E40" s="40" t="s">
        <v>555</v>
      </c>
      <c r="F40" s="42"/>
      <c r="G40" s="42"/>
      <c r="H40" s="62"/>
      <c r="I40" s="42"/>
      <c r="J40" s="43" t="s">
        <v>1058</v>
      </c>
      <c r="K40" s="42" t="s">
        <v>1059</v>
      </c>
      <c r="L40" s="43" t="s">
        <v>1060</v>
      </c>
      <c r="M40" s="44">
        <v>11.99</v>
      </c>
      <c r="N40" s="45">
        <f t="shared" si="42"/>
        <v>2.59034722222222</v>
      </c>
      <c r="O40" s="46">
        <f t="shared" si="43"/>
        <v>19.4276041666667</v>
      </c>
      <c r="P40" s="47">
        <f t="shared" si="44"/>
        <v>0.216042303771662</v>
      </c>
      <c r="Q40" s="45">
        <f t="shared" si="45"/>
        <v>2.985125</v>
      </c>
      <c r="R40" s="48">
        <f t="shared" si="46"/>
        <v>22.3884375</v>
      </c>
      <c r="S40" s="47">
        <f t="shared" si="47"/>
        <v>0.248967889908257</v>
      </c>
      <c r="T40" s="49" t="s">
        <v>870</v>
      </c>
      <c r="U40" s="49">
        <v>7.5</v>
      </c>
      <c r="V40" s="50">
        <v>0.2</v>
      </c>
      <c r="W40" s="50">
        <v>0.15</v>
      </c>
      <c r="X40" s="44">
        <v>9.5</v>
      </c>
      <c r="Y40" s="44">
        <v>8.5</v>
      </c>
      <c r="Z40" s="44">
        <v>5.5</v>
      </c>
      <c r="AA40" s="45">
        <f t="shared" si="48"/>
        <v>0.0740208333333333</v>
      </c>
      <c r="AB40" s="44">
        <v>0.03</v>
      </c>
      <c r="AC40" s="49">
        <v>55</v>
      </c>
      <c r="AD40" s="49">
        <v>15</v>
      </c>
      <c r="AE40" s="44">
        <v>12.3</v>
      </c>
      <c r="AF40" s="48">
        <f t="shared" si="49"/>
        <v>1.64</v>
      </c>
      <c r="AG40" s="45">
        <f t="shared" si="50"/>
        <v>4.07114583333333</v>
      </c>
      <c r="AH40" s="45">
        <f t="shared" si="51"/>
        <v>0.542819444444444</v>
      </c>
      <c r="AI40" s="45">
        <f t="shared" si="52"/>
        <v>1.1103125</v>
      </c>
      <c r="AJ40" s="45">
        <f t="shared" si="53"/>
        <v>0.148041666666667</v>
      </c>
      <c r="AK40" s="48">
        <f t="shared" si="54"/>
        <v>1.7985</v>
      </c>
      <c r="AL40" s="44">
        <v>3.42</v>
      </c>
      <c r="AM40" s="45">
        <f t="shared" si="55"/>
        <v>1.99833333333333</v>
      </c>
      <c r="AN40" s="45">
        <v>0</v>
      </c>
      <c r="AO40" s="49"/>
      <c r="AP40" s="49"/>
      <c r="AQ40" s="45">
        <v>0</v>
      </c>
      <c r="AR40" s="51" t="s">
        <v>586</v>
      </c>
      <c r="AS40" s="52" t="s">
        <v>89</v>
      </c>
      <c r="AT40" s="53">
        <v>9503002190</v>
      </c>
      <c r="AU40" s="53" t="s">
        <v>587</v>
      </c>
      <c r="AV40" s="53" t="s">
        <v>588</v>
      </c>
      <c r="AW40" s="54" t="s">
        <v>589</v>
      </c>
    </row>
    <row r="41" s="3" customFormat="1" ht="79" customHeight="1" spans="1:50">
      <c r="A41" s="36">
        <v>38</v>
      </c>
      <c r="B41" s="37">
        <v>46175</v>
      </c>
      <c r="C41" s="38" t="s">
        <v>1063</v>
      </c>
      <c r="D41" s="39">
        <v>2561484</v>
      </c>
      <c r="E41" s="40" t="s">
        <v>555</v>
      </c>
      <c r="F41" s="58" t="s">
        <v>579</v>
      </c>
      <c r="G41" s="42"/>
      <c r="H41" s="60" t="s">
        <v>1064</v>
      </c>
      <c r="I41" s="42" t="s">
        <v>1065</v>
      </c>
      <c r="J41" s="43" t="s">
        <v>1066</v>
      </c>
      <c r="K41" s="42" t="s">
        <v>1067</v>
      </c>
      <c r="L41" s="43" t="s">
        <v>1068</v>
      </c>
      <c r="M41" s="44">
        <v>7.99</v>
      </c>
      <c r="N41" s="45">
        <f t="shared" si="42"/>
        <v>1.9065</v>
      </c>
      <c r="O41" s="46">
        <f t="shared" si="43"/>
        <v>14.29875</v>
      </c>
      <c r="P41" s="47">
        <f t="shared" si="44"/>
        <v>0.238610763454318</v>
      </c>
      <c r="Q41" s="45">
        <f t="shared" si="45"/>
        <v>2.59983333333333</v>
      </c>
      <c r="R41" s="48">
        <f t="shared" si="46"/>
        <v>19.49875</v>
      </c>
      <c r="S41" s="47">
        <f t="shared" si="47"/>
        <v>0.325385899040467</v>
      </c>
      <c r="T41" s="49" t="s">
        <v>870</v>
      </c>
      <c r="U41" s="49">
        <v>7.5</v>
      </c>
      <c r="V41" s="50">
        <v>0.2</v>
      </c>
      <c r="W41" s="50">
        <v>0.15</v>
      </c>
      <c r="X41" s="44">
        <v>30</v>
      </c>
      <c r="Y41" s="44">
        <v>20</v>
      </c>
      <c r="Z41" s="44">
        <v>0.2</v>
      </c>
      <c r="AA41" s="45">
        <f t="shared" si="48"/>
        <v>0.02</v>
      </c>
      <c r="AB41" s="44">
        <v>0.13</v>
      </c>
      <c r="AC41" s="49">
        <v>55</v>
      </c>
      <c r="AD41" s="49">
        <v>15</v>
      </c>
      <c r="AE41" s="44">
        <v>3.6</v>
      </c>
      <c r="AF41" s="48">
        <f t="shared" si="49"/>
        <v>0.48</v>
      </c>
      <c r="AG41" s="45">
        <f t="shared" si="50"/>
        <v>7.15</v>
      </c>
      <c r="AH41" s="45">
        <f t="shared" si="51"/>
        <v>0.953333333333333</v>
      </c>
      <c r="AI41" s="45">
        <f t="shared" si="52"/>
        <v>1.95</v>
      </c>
      <c r="AJ41" s="45">
        <f t="shared" si="53"/>
        <v>0.26</v>
      </c>
      <c r="AK41" s="48">
        <f t="shared" si="54"/>
        <v>1.1985</v>
      </c>
      <c r="AL41" s="44">
        <v>2.12</v>
      </c>
      <c r="AM41" s="45">
        <f t="shared" si="55"/>
        <v>1.33166666666667</v>
      </c>
      <c r="AN41" s="45">
        <v>0</v>
      </c>
      <c r="AO41" s="49"/>
      <c r="AP41" s="49"/>
      <c r="AQ41" s="45">
        <v>0</v>
      </c>
      <c r="AR41" s="51" t="s">
        <v>745</v>
      </c>
      <c r="AS41" s="52" t="s">
        <v>746</v>
      </c>
      <c r="AT41" s="53">
        <v>3926100000</v>
      </c>
      <c r="AU41" s="53" t="s">
        <v>162</v>
      </c>
      <c r="AV41" s="53" t="s">
        <v>241</v>
      </c>
      <c r="AW41" s="54" t="s">
        <v>242</v>
      </c>
      <c r="AX41" s="3" t="s">
        <v>1069</v>
      </c>
    </row>
    <row r="42" s="3" customFormat="1" ht="79" customHeight="1" spans="1:50">
      <c r="A42" s="36">
        <v>39</v>
      </c>
      <c r="B42" s="37">
        <v>46175</v>
      </c>
      <c r="C42" s="38" t="s">
        <v>1070</v>
      </c>
      <c r="D42" s="39">
        <v>2561485</v>
      </c>
      <c r="E42" s="40" t="s">
        <v>555</v>
      </c>
      <c r="F42" s="58" t="s">
        <v>579</v>
      </c>
      <c r="G42" s="42"/>
      <c r="H42" s="61"/>
      <c r="I42" s="42" t="s">
        <v>1065</v>
      </c>
      <c r="J42" s="43" t="s">
        <v>1066</v>
      </c>
      <c r="K42" s="42" t="s">
        <v>1067</v>
      </c>
      <c r="L42" s="43" t="s">
        <v>1068</v>
      </c>
      <c r="M42" s="44">
        <v>7.99</v>
      </c>
      <c r="N42" s="45">
        <f t="shared" si="42"/>
        <v>1.9065</v>
      </c>
      <c r="O42" s="46">
        <f t="shared" si="43"/>
        <v>14.29875</v>
      </c>
      <c r="P42" s="47">
        <f t="shared" si="44"/>
        <v>0.238610763454318</v>
      </c>
      <c r="Q42" s="45">
        <f t="shared" si="45"/>
        <v>2.59983333333333</v>
      </c>
      <c r="R42" s="48">
        <f t="shared" si="46"/>
        <v>19.49875</v>
      </c>
      <c r="S42" s="47">
        <f t="shared" si="47"/>
        <v>0.325385899040467</v>
      </c>
      <c r="T42" s="49" t="s">
        <v>870</v>
      </c>
      <c r="U42" s="49">
        <v>7.5</v>
      </c>
      <c r="V42" s="50">
        <v>0.2</v>
      </c>
      <c r="W42" s="50">
        <v>0.15</v>
      </c>
      <c r="X42" s="44">
        <v>30</v>
      </c>
      <c r="Y42" s="44">
        <v>20</v>
      </c>
      <c r="Z42" s="44">
        <v>0.2</v>
      </c>
      <c r="AA42" s="45">
        <f t="shared" si="48"/>
        <v>0.02</v>
      </c>
      <c r="AB42" s="44">
        <v>0.13</v>
      </c>
      <c r="AC42" s="49">
        <v>55</v>
      </c>
      <c r="AD42" s="49">
        <v>15</v>
      </c>
      <c r="AE42" s="44">
        <v>3.6</v>
      </c>
      <c r="AF42" s="48">
        <f t="shared" si="49"/>
        <v>0.48</v>
      </c>
      <c r="AG42" s="45">
        <f t="shared" si="50"/>
        <v>7.15</v>
      </c>
      <c r="AH42" s="45">
        <f t="shared" si="51"/>
        <v>0.953333333333333</v>
      </c>
      <c r="AI42" s="45">
        <f t="shared" si="52"/>
        <v>1.95</v>
      </c>
      <c r="AJ42" s="45">
        <f t="shared" si="53"/>
        <v>0.26</v>
      </c>
      <c r="AK42" s="48">
        <f t="shared" si="54"/>
        <v>1.1985</v>
      </c>
      <c r="AL42" s="44">
        <v>2.12</v>
      </c>
      <c r="AM42" s="45">
        <f t="shared" si="55"/>
        <v>1.33166666666667</v>
      </c>
      <c r="AN42" s="45">
        <v>0</v>
      </c>
      <c r="AO42" s="49"/>
      <c r="AP42" s="49"/>
      <c r="AQ42" s="45">
        <v>0</v>
      </c>
      <c r="AR42" s="51" t="s">
        <v>745</v>
      </c>
      <c r="AS42" s="52" t="s">
        <v>746</v>
      </c>
      <c r="AT42" s="53">
        <v>3926100000</v>
      </c>
      <c r="AU42" s="53" t="s">
        <v>162</v>
      </c>
      <c r="AV42" s="53" t="s">
        <v>241</v>
      </c>
      <c r="AW42" s="54" t="s">
        <v>242</v>
      </c>
      <c r="AX42" s="3" t="s">
        <v>1069</v>
      </c>
    </row>
    <row r="43" s="3" customFormat="1" ht="79" customHeight="1" spans="1:50">
      <c r="A43" s="36">
        <v>40</v>
      </c>
      <c r="B43" s="37">
        <v>46175</v>
      </c>
      <c r="C43" s="38" t="s">
        <v>1071</v>
      </c>
      <c r="D43" s="39">
        <v>2561486</v>
      </c>
      <c r="E43" s="40" t="s">
        <v>555</v>
      </c>
      <c r="F43" s="58" t="s">
        <v>579</v>
      </c>
      <c r="G43" s="42"/>
      <c r="H43" s="61"/>
      <c r="I43" s="42" t="s">
        <v>1065</v>
      </c>
      <c r="J43" s="43" t="s">
        <v>1066</v>
      </c>
      <c r="K43" s="42" t="s">
        <v>1067</v>
      </c>
      <c r="L43" s="43" t="s">
        <v>1068</v>
      </c>
      <c r="M43" s="44">
        <v>7.99</v>
      </c>
      <c r="N43" s="45">
        <f t="shared" si="42"/>
        <v>1.9065</v>
      </c>
      <c r="O43" s="46">
        <f t="shared" si="43"/>
        <v>14.29875</v>
      </c>
      <c r="P43" s="47">
        <f t="shared" si="44"/>
        <v>0.238610763454318</v>
      </c>
      <c r="Q43" s="45">
        <f t="shared" si="45"/>
        <v>2.59983333333333</v>
      </c>
      <c r="R43" s="48">
        <f t="shared" si="46"/>
        <v>19.49875</v>
      </c>
      <c r="S43" s="47">
        <f t="shared" si="47"/>
        <v>0.325385899040467</v>
      </c>
      <c r="T43" s="49" t="s">
        <v>870</v>
      </c>
      <c r="U43" s="49">
        <v>7.5</v>
      </c>
      <c r="V43" s="50">
        <v>0.2</v>
      </c>
      <c r="W43" s="50">
        <v>0.15</v>
      </c>
      <c r="X43" s="44">
        <v>30</v>
      </c>
      <c r="Y43" s="44">
        <v>20</v>
      </c>
      <c r="Z43" s="44">
        <v>0.2</v>
      </c>
      <c r="AA43" s="45">
        <f t="shared" si="48"/>
        <v>0.02</v>
      </c>
      <c r="AB43" s="44">
        <v>0.13</v>
      </c>
      <c r="AC43" s="49">
        <v>55</v>
      </c>
      <c r="AD43" s="49">
        <v>15</v>
      </c>
      <c r="AE43" s="44">
        <v>3.6</v>
      </c>
      <c r="AF43" s="48">
        <f t="shared" si="49"/>
        <v>0.48</v>
      </c>
      <c r="AG43" s="45">
        <f t="shared" si="50"/>
        <v>7.15</v>
      </c>
      <c r="AH43" s="45">
        <f t="shared" si="51"/>
        <v>0.953333333333333</v>
      </c>
      <c r="AI43" s="45">
        <f t="shared" si="52"/>
        <v>1.95</v>
      </c>
      <c r="AJ43" s="45">
        <f t="shared" si="53"/>
        <v>0.26</v>
      </c>
      <c r="AK43" s="48">
        <f t="shared" si="54"/>
        <v>1.1985</v>
      </c>
      <c r="AL43" s="44">
        <v>2.12</v>
      </c>
      <c r="AM43" s="45">
        <f t="shared" si="55"/>
        <v>1.33166666666667</v>
      </c>
      <c r="AN43" s="45">
        <v>0</v>
      </c>
      <c r="AO43" s="49"/>
      <c r="AP43" s="49"/>
      <c r="AQ43" s="45">
        <v>0</v>
      </c>
      <c r="AR43" s="51" t="s">
        <v>745</v>
      </c>
      <c r="AS43" s="52" t="s">
        <v>746</v>
      </c>
      <c r="AT43" s="53">
        <v>3926100000</v>
      </c>
      <c r="AU43" s="53" t="s">
        <v>162</v>
      </c>
      <c r="AV43" s="53" t="s">
        <v>241</v>
      </c>
      <c r="AW43" s="54" t="s">
        <v>242</v>
      </c>
      <c r="AX43" s="3" t="s">
        <v>1069</v>
      </c>
    </row>
    <row r="44" s="3" customFormat="1" ht="79" customHeight="1" spans="1:50">
      <c r="A44" s="36">
        <v>41</v>
      </c>
      <c r="B44" s="37">
        <v>46175</v>
      </c>
      <c r="C44" s="38" t="s">
        <v>1072</v>
      </c>
      <c r="D44" s="39">
        <v>2561487</v>
      </c>
      <c r="E44" s="40" t="s">
        <v>555</v>
      </c>
      <c r="F44" s="42"/>
      <c r="G44" s="42"/>
      <c r="H44" s="62"/>
      <c r="I44" s="42" t="s">
        <v>1065</v>
      </c>
      <c r="J44" s="43" t="s">
        <v>1066</v>
      </c>
      <c r="K44" s="42" t="s">
        <v>1067</v>
      </c>
      <c r="L44" s="43" t="s">
        <v>1068</v>
      </c>
      <c r="M44" s="44">
        <v>7.99</v>
      </c>
      <c r="N44" s="45">
        <f t="shared" si="42"/>
        <v>1.9065</v>
      </c>
      <c r="O44" s="46">
        <f t="shared" si="43"/>
        <v>14.29875</v>
      </c>
      <c r="P44" s="47">
        <f t="shared" si="44"/>
        <v>0.238610763454318</v>
      </c>
      <c r="Q44" s="45">
        <f t="shared" si="45"/>
        <v>2.59983333333333</v>
      </c>
      <c r="R44" s="48">
        <f t="shared" si="46"/>
        <v>19.49875</v>
      </c>
      <c r="S44" s="47">
        <f t="shared" si="47"/>
        <v>0.325385899040467</v>
      </c>
      <c r="T44" s="49" t="s">
        <v>870</v>
      </c>
      <c r="U44" s="49">
        <v>7.5</v>
      </c>
      <c r="V44" s="50">
        <v>0.2</v>
      </c>
      <c r="W44" s="50">
        <v>0.15</v>
      </c>
      <c r="X44" s="44">
        <v>30</v>
      </c>
      <c r="Y44" s="44">
        <v>20</v>
      </c>
      <c r="Z44" s="44">
        <v>0.2</v>
      </c>
      <c r="AA44" s="45">
        <f t="shared" si="48"/>
        <v>0.02</v>
      </c>
      <c r="AB44" s="44">
        <v>0.13</v>
      </c>
      <c r="AC44" s="49">
        <v>55</v>
      </c>
      <c r="AD44" s="49">
        <v>15</v>
      </c>
      <c r="AE44" s="44">
        <v>3.6</v>
      </c>
      <c r="AF44" s="48">
        <f t="shared" si="49"/>
        <v>0.48</v>
      </c>
      <c r="AG44" s="45">
        <f t="shared" si="50"/>
        <v>7.15</v>
      </c>
      <c r="AH44" s="45">
        <f t="shared" si="51"/>
        <v>0.953333333333333</v>
      </c>
      <c r="AI44" s="45">
        <f t="shared" si="52"/>
        <v>1.95</v>
      </c>
      <c r="AJ44" s="45">
        <f t="shared" si="53"/>
        <v>0.26</v>
      </c>
      <c r="AK44" s="48">
        <f t="shared" si="54"/>
        <v>1.1985</v>
      </c>
      <c r="AL44" s="44">
        <v>2.12</v>
      </c>
      <c r="AM44" s="45">
        <f t="shared" si="55"/>
        <v>1.33166666666667</v>
      </c>
      <c r="AN44" s="45">
        <v>0</v>
      </c>
      <c r="AO44" s="49"/>
      <c r="AP44" s="49"/>
      <c r="AQ44" s="45">
        <v>0</v>
      </c>
      <c r="AR44" s="51" t="s">
        <v>745</v>
      </c>
      <c r="AS44" s="52" t="s">
        <v>746</v>
      </c>
      <c r="AT44" s="53">
        <v>3926100000</v>
      </c>
      <c r="AU44" s="53" t="s">
        <v>162</v>
      </c>
      <c r="AV44" s="53" t="s">
        <v>241</v>
      </c>
      <c r="AW44" s="54" t="s">
        <v>242</v>
      </c>
      <c r="AX44" s="3" t="s">
        <v>1069</v>
      </c>
    </row>
    <row r="45" s="3" customFormat="1" ht="79" customHeight="1" spans="1:50">
      <c r="A45" s="36">
        <v>42</v>
      </c>
      <c r="B45" s="37">
        <v>46175</v>
      </c>
      <c r="C45" s="38" t="s">
        <v>1073</v>
      </c>
      <c r="D45" s="39">
        <v>2561488</v>
      </c>
      <c r="E45" s="40" t="s">
        <v>555</v>
      </c>
      <c r="F45" s="58" t="s">
        <v>579</v>
      </c>
      <c r="G45" s="42"/>
      <c r="H45" s="42"/>
      <c r="I45" s="42"/>
      <c r="J45" s="43" t="s">
        <v>1074</v>
      </c>
      <c r="K45" s="42" t="s">
        <v>1075</v>
      </c>
      <c r="L45" s="43" t="s">
        <v>1076</v>
      </c>
      <c r="M45" s="44">
        <v>6.99</v>
      </c>
      <c r="N45" s="45">
        <f t="shared" si="42"/>
        <v>1.98816666666667</v>
      </c>
      <c r="O45" s="46">
        <f t="shared" si="43"/>
        <v>14.91125</v>
      </c>
      <c r="P45" s="47">
        <f t="shared" si="44"/>
        <v>0.284430138292799</v>
      </c>
      <c r="Q45" s="45">
        <f t="shared" si="45"/>
        <v>2.29483333333333</v>
      </c>
      <c r="R45" s="48">
        <f t="shared" si="46"/>
        <v>17.21125</v>
      </c>
      <c r="S45" s="47">
        <f t="shared" si="47"/>
        <v>0.328302336671435</v>
      </c>
      <c r="T45" s="49" t="s">
        <v>870</v>
      </c>
      <c r="U45" s="49">
        <v>7.5</v>
      </c>
      <c r="V45" s="50">
        <v>0.2</v>
      </c>
      <c r="W45" s="50">
        <v>0.15</v>
      </c>
      <c r="X45" s="44">
        <v>23</v>
      </c>
      <c r="Y45" s="44">
        <v>15</v>
      </c>
      <c r="Z45" s="44">
        <v>1</v>
      </c>
      <c r="AA45" s="45">
        <f t="shared" si="48"/>
        <v>0.0575</v>
      </c>
      <c r="AB45" s="44">
        <v>0.03</v>
      </c>
      <c r="AC45" s="49">
        <v>55</v>
      </c>
      <c r="AD45" s="49">
        <v>15</v>
      </c>
      <c r="AE45" s="44">
        <v>3.5</v>
      </c>
      <c r="AF45" s="48">
        <f t="shared" si="49"/>
        <v>0.466666666666667</v>
      </c>
      <c r="AG45" s="45">
        <f t="shared" si="50"/>
        <v>3.1625</v>
      </c>
      <c r="AH45" s="45">
        <f t="shared" si="51"/>
        <v>0.421666666666667</v>
      </c>
      <c r="AI45" s="45">
        <f t="shared" si="52"/>
        <v>0.8625</v>
      </c>
      <c r="AJ45" s="45">
        <f t="shared" si="53"/>
        <v>0.115</v>
      </c>
      <c r="AK45" s="48">
        <f t="shared" si="54"/>
        <v>1.0485</v>
      </c>
      <c r="AL45" s="44">
        <v>1.9</v>
      </c>
      <c r="AM45" s="45">
        <f t="shared" si="55"/>
        <v>1.165</v>
      </c>
      <c r="AN45" s="45">
        <v>0</v>
      </c>
      <c r="AO45" s="49"/>
      <c r="AP45" s="49"/>
      <c r="AQ45" s="45">
        <v>0</v>
      </c>
      <c r="AR45" s="51" t="s">
        <v>1077</v>
      </c>
      <c r="AS45" s="52" t="s">
        <v>1078</v>
      </c>
      <c r="AT45" s="53">
        <v>4202929110</v>
      </c>
      <c r="AU45" s="53" t="s">
        <v>256</v>
      </c>
      <c r="AV45" s="53" t="s">
        <v>605</v>
      </c>
      <c r="AW45" s="54" t="s">
        <v>606</v>
      </c>
      <c r="AX45" s="3" t="s">
        <v>1079</v>
      </c>
    </row>
    <row r="46" s="3" customFormat="1" ht="79" customHeight="1" spans="1:50">
      <c r="A46" s="36">
        <v>43</v>
      </c>
      <c r="B46" s="37">
        <v>46175</v>
      </c>
      <c r="C46" s="38" t="s">
        <v>1080</v>
      </c>
      <c r="D46" s="39">
        <v>2561489</v>
      </c>
      <c r="E46" s="40" t="s">
        <v>555</v>
      </c>
      <c r="F46" s="58" t="s">
        <v>579</v>
      </c>
      <c r="G46" s="42"/>
      <c r="H46" s="42"/>
      <c r="I46" s="42"/>
      <c r="J46" s="43" t="s">
        <v>1074</v>
      </c>
      <c r="K46" s="42" t="s">
        <v>1075</v>
      </c>
      <c r="L46" s="43" t="s">
        <v>1076</v>
      </c>
      <c r="M46" s="44">
        <v>6.99</v>
      </c>
      <c r="N46" s="45">
        <f t="shared" si="42"/>
        <v>1.98816666666667</v>
      </c>
      <c r="O46" s="46">
        <f t="shared" si="43"/>
        <v>14.91125</v>
      </c>
      <c r="P46" s="47">
        <f t="shared" si="44"/>
        <v>0.284430138292799</v>
      </c>
      <c r="Q46" s="45">
        <f t="shared" si="45"/>
        <v>2.29483333333333</v>
      </c>
      <c r="R46" s="48">
        <f t="shared" si="46"/>
        <v>17.21125</v>
      </c>
      <c r="S46" s="47">
        <f t="shared" si="47"/>
        <v>0.328302336671435</v>
      </c>
      <c r="T46" s="49" t="s">
        <v>870</v>
      </c>
      <c r="U46" s="49">
        <v>7.5</v>
      </c>
      <c r="V46" s="50">
        <v>0.2</v>
      </c>
      <c r="W46" s="50">
        <v>0.15</v>
      </c>
      <c r="X46" s="44">
        <v>23</v>
      </c>
      <c r="Y46" s="44">
        <v>15</v>
      </c>
      <c r="Z46" s="44">
        <v>1</v>
      </c>
      <c r="AA46" s="45">
        <f t="shared" si="48"/>
        <v>0.0575</v>
      </c>
      <c r="AB46" s="44">
        <v>0.03</v>
      </c>
      <c r="AC46" s="49">
        <v>55</v>
      </c>
      <c r="AD46" s="49">
        <v>15</v>
      </c>
      <c r="AE46" s="44">
        <v>3.5</v>
      </c>
      <c r="AF46" s="48">
        <f t="shared" si="49"/>
        <v>0.466666666666667</v>
      </c>
      <c r="AG46" s="45">
        <f t="shared" si="50"/>
        <v>3.1625</v>
      </c>
      <c r="AH46" s="45">
        <f t="shared" si="51"/>
        <v>0.421666666666667</v>
      </c>
      <c r="AI46" s="45">
        <f t="shared" si="52"/>
        <v>0.8625</v>
      </c>
      <c r="AJ46" s="45">
        <f t="shared" si="53"/>
        <v>0.115</v>
      </c>
      <c r="AK46" s="48">
        <f t="shared" si="54"/>
        <v>1.0485</v>
      </c>
      <c r="AL46" s="44">
        <v>1.9</v>
      </c>
      <c r="AM46" s="45">
        <f t="shared" si="55"/>
        <v>1.165</v>
      </c>
      <c r="AN46" s="45">
        <v>0</v>
      </c>
      <c r="AO46" s="49"/>
      <c r="AP46" s="49"/>
      <c r="AQ46" s="45">
        <v>0</v>
      </c>
      <c r="AR46" s="51" t="s">
        <v>1077</v>
      </c>
      <c r="AS46" s="52" t="s">
        <v>1078</v>
      </c>
      <c r="AT46" s="53">
        <v>4202929110</v>
      </c>
      <c r="AU46" s="53" t="s">
        <v>256</v>
      </c>
      <c r="AV46" s="53" t="s">
        <v>605</v>
      </c>
      <c r="AW46" s="54" t="s">
        <v>606</v>
      </c>
      <c r="AX46" s="3" t="s">
        <v>1079</v>
      </c>
    </row>
    <row r="47" s="3" customFormat="1" ht="79" customHeight="1" spans="1:50">
      <c r="A47" s="36">
        <v>44</v>
      </c>
      <c r="B47" s="37">
        <v>46175</v>
      </c>
      <c r="C47" s="38" t="s">
        <v>1081</v>
      </c>
      <c r="D47" s="39">
        <v>2561490</v>
      </c>
      <c r="E47" s="40" t="s">
        <v>555</v>
      </c>
      <c r="F47" s="58" t="s">
        <v>579</v>
      </c>
      <c r="G47" s="42"/>
      <c r="H47" s="42" t="s">
        <v>1082</v>
      </c>
      <c r="I47" s="42"/>
      <c r="J47" s="43" t="s">
        <v>1083</v>
      </c>
      <c r="K47" s="42" t="s">
        <v>1084</v>
      </c>
      <c r="L47" s="43" t="s">
        <v>1085</v>
      </c>
      <c r="M47" s="44">
        <v>8.99</v>
      </c>
      <c r="N47" s="45">
        <f t="shared" si="42"/>
        <v>2.14983333333333</v>
      </c>
      <c r="O47" s="46">
        <f t="shared" si="43"/>
        <v>16.12375</v>
      </c>
      <c r="P47" s="47">
        <f t="shared" si="44"/>
        <v>0.239136077122729</v>
      </c>
      <c r="Q47" s="45">
        <f t="shared" si="45"/>
        <v>2.94983333333333</v>
      </c>
      <c r="R47" s="48">
        <f t="shared" si="46"/>
        <v>22.12375</v>
      </c>
      <c r="S47" s="47">
        <f t="shared" si="47"/>
        <v>0.328123841305154</v>
      </c>
      <c r="T47" s="49" t="s">
        <v>870</v>
      </c>
      <c r="U47" s="49">
        <v>7.5</v>
      </c>
      <c r="V47" s="50">
        <v>0.2</v>
      </c>
      <c r="W47" s="50">
        <v>0.15</v>
      </c>
      <c r="X47" s="44">
        <v>20</v>
      </c>
      <c r="Y47" s="44">
        <v>20</v>
      </c>
      <c r="Z47" s="44">
        <v>1.5</v>
      </c>
      <c r="AA47" s="45">
        <f t="shared" si="48"/>
        <v>0.1</v>
      </c>
      <c r="AB47" s="44">
        <v>0.15</v>
      </c>
      <c r="AC47" s="49">
        <v>55</v>
      </c>
      <c r="AD47" s="49">
        <v>15</v>
      </c>
      <c r="AE47" s="44">
        <v>5.8</v>
      </c>
      <c r="AF47" s="48">
        <f t="shared" si="49"/>
        <v>0.773333333333333</v>
      </c>
      <c r="AG47" s="45">
        <f t="shared" si="50"/>
        <v>8.25</v>
      </c>
      <c r="AH47" s="45">
        <f t="shared" si="51"/>
        <v>1.1</v>
      </c>
      <c r="AI47" s="45">
        <f t="shared" si="52"/>
        <v>2.25</v>
      </c>
      <c r="AJ47" s="45">
        <f t="shared" si="53"/>
        <v>0.3</v>
      </c>
      <c r="AK47" s="48">
        <f t="shared" si="54"/>
        <v>1.3485</v>
      </c>
      <c r="AL47" s="44">
        <v>2.12</v>
      </c>
      <c r="AM47" s="45">
        <f t="shared" si="55"/>
        <v>1.49833333333333</v>
      </c>
      <c r="AN47" s="45">
        <v>0</v>
      </c>
      <c r="AO47" s="49"/>
      <c r="AP47" s="49"/>
      <c r="AQ47" s="45">
        <v>0</v>
      </c>
      <c r="AR47" s="51" t="s">
        <v>1086</v>
      </c>
      <c r="AS47" s="52" t="s">
        <v>63</v>
      </c>
      <c r="AT47" s="53">
        <v>4420190000</v>
      </c>
      <c r="AU47" s="53" t="s">
        <v>403</v>
      </c>
      <c r="AV47" s="53" t="s">
        <v>597</v>
      </c>
      <c r="AW47" s="54" t="s">
        <v>465</v>
      </c>
      <c r="AX47" s="3" t="s">
        <v>647</v>
      </c>
    </row>
    <row r="48" s="3" customFormat="1" ht="79" customHeight="1" spans="1:50">
      <c r="A48" s="36">
        <v>45</v>
      </c>
      <c r="B48" s="37">
        <v>46175</v>
      </c>
      <c r="C48" s="38" t="s">
        <v>1087</v>
      </c>
      <c r="D48" s="39">
        <v>2561491</v>
      </c>
      <c r="E48" s="40" t="s">
        <v>555</v>
      </c>
      <c r="F48" s="42"/>
      <c r="G48" s="42"/>
      <c r="H48" s="42" t="s">
        <v>938</v>
      </c>
      <c r="I48" s="42"/>
      <c r="J48" s="43" t="s">
        <v>1088</v>
      </c>
      <c r="K48" s="42" t="s">
        <v>1089</v>
      </c>
      <c r="L48" s="43"/>
      <c r="M48" s="44">
        <v>8.99</v>
      </c>
      <c r="N48" s="45">
        <f t="shared" si="42"/>
        <v>2.14983333333333</v>
      </c>
      <c r="O48" s="46">
        <f t="shared" si="43"/>
        <v>16.12375</v>
      </c>
      <c r="P48" s="47">
        <f t="shared" si="44"/>
        <v>0.239136077122729</v>
      </c>
      <c r="Q48" s="45">
        <f t="shared" si="45"/>
        <v>2.94983333333333</v>
      </c>
      <c r="R48" s="48">
        <f t="shared" si="46"/>
        <v>22.12375</v>
      </c>
      <c r="S48" s="47">
        <f t="shared" si="47"/>
        <v>0.328123841305154</v>
      </c>
      <c r="T48" s="49" t="s">
        <v>870</v>
      </c>
      <c r="U48" s="49">
        <v>7.5</v>
      </c>
      <c r="V48" s="50">
        <v>0.2</v>
      </c>
      <c r="W48" s="50">
        <v>0.15</v>
      </c>
      <c r="X48" s="44">
        <v>20</v>
      </c>
      <c r="Y48" s="44">
        <v>20</v>
      </c>
      <c r="Z48" s="44">
        <v>1.5</v>
      </c>
      <c r="AA48" s="45">
        <f t="shared" si="48"/>
        <v>0.1</v>
      </c>
      <c r="AB48" s="44">
        <v>0.15</v>
      </c>
      <c r="AC48" s="49">
        <v>55</v>
      </c>
      <c r="AD48" s="49">
        <v>15</v>
      </c>
      <c r="AE48" s="44">
        <v>5.8</v>
      </c>
      <c r="AF48" s="48">
        <f t="shared" si="49"/>
        <v>0.773333333333333</v>
      </c>
      <c r="AG48" s="45">
        <f t="shared" si="50"/>
        <v>8.25</v>
      </c>
      <c r="AH48" s="45">
        <f t="shared" si="51"/>
        <v>1.1</v>
      </c>
      <c r="AI48" s="45">
        <f t="shared" si="52"/>
        <v>2.25</v>
      </c>
      <c r="AJ48" s="45">
        <f t="shared" si="53"/>
        <v>0.3</v>
      </c>
      <c r="AK48" s="48">
        <f t="shared" si="54"/>
        <v>1.3485</v>
      </c>
      <c r="AL48" s="44">
        <v>2.12</v>
      </c>
      <c r="AM48" s="45">
        <f t="shared" si="55"/>
        <v>1.49833333333333</v>
      </c>
      <c r="AN48" s="45">
        <v>0</v>
      </c>
      <c r="AO48" s="49"/>
      <c r="AP48" s="49"/>
      <c r="AQ48" s="45">
        <v>0</v>
      </c>
      <c r="AR48" s="51" t="s">
        <v>1086</v>
      </c>
      <c r="AS48" s="52" t="s">
        <v>63</v>
      </c>
      <c r="AT48" s="53">
        <v>4420190000</v>
      </c>
      <c r="AU48" s="53" t="s">
        <v>403</v>
      </c>
      <c r="AV48" s="53" t="s">
        <v>597</v>
      </c>
      <c r="AW48" s="54" t="s">
        <v>465</v>
      </c>
      <c r="AX48" s="3" t="s">
        <v>647</v>
      </c>
    </row>
    <row r="49" s="3" customFormat="1" ht="79" customHeight="1" spans="1:50">
      <c r="A49" s="36">
        <v>46</v>
      </c>
      <c r="B49" s="37">
        <v>46175</v>
      </c>
      <c r="C49" s="38" t="s">
        <v>1087</v>
      </c>
      <c r="D49" s="39">
        <v>2561492</v>
      </c>
      <c r="E49" s="40" t="s">
        <v>555</v>
      </c>
      <c r="F49" s="58" t="s">
        <v>579</v>
      </c>
      <c r="G49" s="42"/>
      <c r="H49" s="42" t="s">
        <v>1090</v>
      </c>
      <c r="I49" s="42" t="s">
        <v>1065</v>
      </c>
      <c r="J49" s="43" t="s">
        <v>1088</v>
      </c>
      <c r="K49" s="42" t="s">
        <v>1089</v>
      </c>
      <c r="L49" s="43"/>
      <c r="M49" s="44">
        <v>8.99</v>
      </c>
      <c r="N49" s="45">
        <f t="shared" si="42"/>
        <v>2.14983333333333</v>
      </c>
      <c r="O49" s="46">
        <f t="shared" si="43"/>
        <v>16.12375</v>
      </c>
      <c r="P49" s="47">
        <f t="shared" si="44"/>
        <v>0.239136077122729</v>
      </c>
      <c r="Q49" s="45">
        <f t="shared" si="45"/>
        <v>2.94983333333333</v>
      </c>
      <c r="R49" s="48">
        <f t="shared" si="46"/>
        <v>22.12375</v>
      </c>
      <c r="S49" s="47">
        <f t="shared" si="47"/>
        <v>0.328123841305154</v>
      </c>
      <c r="T49" s="49" t="s">
        <v>870</v>
      </c>
      <c r="U49" s="49">
        <v>7.5</v>
      </c>
      <c r="V49" s="50">
        <v>0.2</v>
      </c>
      <c r="W49" s="50">
        <v>0.15</v>
      </c>
      <c r="X49" s="44">
        <v>20</v>
      </c>
      <c r="Y49" s="44">
        <v>20</v>
      </c>
      <c r="Z49" s="44">
        <v>1.5</v>
      </c>
      <c r="AA49" s="45">
        <f t="shared" si="48"/>
        <v>0.1</v>
      </c>
      <c r="AB49" s="44">
        <v>0.15</v>
      </c>
      <c r="AC49" s="49">
        <v>55</v>
      </c>
      <c r="AD49" s="49">
        <v>15</v>
      </c>
      <c r="AE49" s="44">
        <v>5.8</v>
      </c>
      <c r="AF49" s="48">
        <f t="shared" si="49"/>
        <v>0.773333333333333</v>
      </c>
      <c r="AG49" s="45">
        <f t="shared" si="50"/>
        <v>8.25</v>
      </c>
      <c r="AH49" s="45">
        <f t="shared" si="51"/>
        <v>1.1</v>
      </c>
      <c r="AI49" s="45">
        <f t="shared" si="52"/>
        <v>2.25</v>
      </c>
      <c r="AJ49" s="45">
        <f t="shared" si="53"/>
        <v>0.3</v>
      </c>
      <c r="AK49" s="48">
        <f t="shared" si="54"/>
        <v>1.3485</v>
      </c>
      <c r="AL49" s="44">
        <v>2.12</v>
      </c>
      <c r="AM49" s="45">
        <f t="shared" si="55"/>
        <v>1.49833333333333</v>
      </c>
      <c r="AN49" s="45">
        <v>0</v>
      </c>
      <c r="AO49" s="49"/>
      <c r="AP49" s="49"/>
      <c r="AQ49" s="45">
        <v>0</v>
      </c>
      <c r="AR49" s="51" t="s">
        <v>1086</v>
      </c>
      <c r="AS49" s="52" t="s">
        <v>63</v>
      </c>
      <c r="AT49" s="53">
        <v>4420190000</v>
      </c>
      <c r="AU49" s="53" t="s">
        <v>403</v>
      </c>
      <c r="AV49" s="53" t="s">
        <v>597</v>
      </c>
      <c r="AW49" s="54" t="s">
        <v>465</v>
      </c>
      <c r="AX49" s="3" t="s">
        <v>647</v>
      </c>
    </row>
    <row r="50" s="3" customFormat="1" ht="79" customHeight="1" spans="1:50">
      <c r="A50" s="36">
        <v>47</v>
      </c>
      <c r="B50" s="37">
        <v>46175</v>
      </c>
      <c r="C50" s="38" t="s">
        <v>1091</v>
      </c>
      <c r="D50" s="39">
        <v>2561493</v>
      </c>
      <c r="E50" s="40" t="s">
        <v>555</v>
      </c>
      <c r="F50" s="58" t="s">
        <v>579</v>
      </c>
      <c r="G50" s="42"/>
      <c r="H50" s="42" t="s">
        <v>1092</v>
      </c>
      <c r="I50" s="42"/>
      <c r="J50" s="43" t="s">
        <v>1093</v>
      </c>
      <c r="K50" s="42" t="s">
        <v>1094</v>
      </c>
      <c r="L50" s="43"/>
      <c r="M50" s="44">
        <v>7.99</v>
      </c>
      <c r="N50" s="45">
        <f t="shared" si="42"/>
        <v>1.9365</v>
      </c>
      <c r="O50" s="46">
        <f t="shared" si="43"/>
        <v>14.52375</v>
      </c>
      <c r="P50" s="47">
        <f t="shared" si="44"/>
        <v>0.242365456821026</v>
      </c>
      <c r="Q50" s="45">
        <f t="shared" si="45"/>
        <v>2.20316666666667</v>
      </c>
      <c r="R50" s="48">
        <f t="shared" si="46"/>
        <v>16.52375</v>
      </c>
      <c r="S50" s="47">
        <f t="shared" si="47"/>
        <v>0.275740508969545</v>
      </c>
      <c r="T50" s="49" t="s">
        <v>870</v>
      </c>
      <c r="U50" s="49">
        <v>7.5</v>
      </c>
      <c r="V50" s="50">
        <v>0.2</v>
      </c>
      <c r="W50" s="50">
        <v>0.15</v>
      </c>
      <c r="X50" s="44">
        <v>10.5</v>
      </c>
      <c r="Y50" s="44">
        <v>7</v>
      </c>
      <c r="Z50" s="44">
        <v>3.5</v>
      </c>
      <c r="AA50" s="45">
        <f t="shared" si="48"/>
        <v>0.042875</v>
      </c>
      <c r="AB50" s="44">
        <v>0.05</v>
      </c>
      <c r="AC50" s="49">
        <v>55</v>
      </c>
      <c r="AD50" s="49">
        <v>15</v>
      </c>
      <c r="AE50" s="44">
        <v>3.8</v>
      </c>
      <c r="AF50" s="48">
        <f t="shared" si="49"/>
        <v>0.506666666666667</v>
      </c>
      <c r="AG50" s="45">
        <f t="shared" si="50"/>
        <v>2.75</v>
      </c>
      <c r="AH50" s="45">
        <f t="shared" si="51"/>
        <v>0.366666666666667</v>
      </c>
      <c r="AI50" s="45">
        <f t="shared" si="52"/>
        <v>0.75</v>
      </c>
      <c r="AJ50" s="45">
        <f t="shared" si="53"/>
        <v>0.1</v>
      </c>
      <c r="AK50" s="48">
        <f t="shared" si="54"/>
        <v>1.1985</v>
      </c>
      <c r="AL50" s="44">
        <v>2.65</v>
      </c>
      <c r="AM50" s="45">
        <f t="shared" si="55"/>
        <v>1.33166666666667</v>
      </c>
      <c r="AN50" s="45">
        <v>0</v>
      </c>
      <c r="AO50" s="49"/>
      <c r="AP50" s="49"/>
      <c r="AQ50" s="45">
        <v>0</v>
      </c>
      <c r="AR50" s="51" t="s">
        <v>643</v>
      </c>
      <c r="AS50" s="52" t="s">
        <v>637</v>
      </c>
      <c r="AT50" s="53">
        <v>8306100000</v>
      </c>
      <c r="AU50" s="53" t="s">
        <v>112</v>
      </c>
      <c r="AV50" s="53" t="s">
        <v>638</v>
      </c>
      <c r="AW50" s="54" t="s">
        <v>639</v>
      </c>
    </row>
    <row r="51" s="3" customFormat="1" ht="79" customHeight="1" spans="1:50">
      <c r="A51" s="36">
        <v>48</v>
      </c>
      <c r="B51" s="37">
        <v>46175</v>
      </c>
      <c r="C51" s="38" t="s">
        <v>1095</v>
      </c>
      <c r="D51" s="39">
        <v>2561494</v>
      </c>
      <c r="E51" s="40" t="s">
        <v>555</v>
      </c>
      <c r="F51" s="58" t="s">
        <v>579</v>
      </c>
      <c r="G51" s="42"/>
      <c r="H51" s="42" t="s">
        <v>1096</v>
      </c>
      <c r="I51" s="42"/>
      <c r="J51" s="43" t="s">
        <v>1094</v>
      </c>
      <c r="K51" s="42" t="s">
        <v>1093</v>
      </c>
      <c r="L51" s="43"/>
      <c r="M51" s="44">
        <v>11.99</v>
      </c>
      <c r="N51" s="45">
        <f t="shared" si="42"/>
        <v>2.79316666666667</v>
      </c>
      <c r="O51" s="46">
        <f t="shared" si="43"/>
        <v>20.94875</v>
      </c>
      <c r="P51" s="47">
        <f t="shared" si="44"/>
        <v>0.232958020572699</v>
      </c>
      <c r="Q51" s="45">
        <f t="shared" si="45"/>
        <v>3.43316666666667</v>
      </c>
      <c r="R51" s="48">
        <f t="shared" si="46"/>
        <v>25.74875</v>
      </c>
      <c r="S51" s="47">
        <f t="shared" si="47"/>
        <v>0.286335835418404</v>
      </c>
      <c r="T51" s="49" t="s">
        <v>870</v>
      </c>
      <c r="U51" s="49">
        <v>7.5</v>
      </c>
      <c r="V51" s="50">
        <v>0.2</v>
      </c>
      <c r="W51" s="50">
        <v>0.15</v>
      </c>
      <c r="X51" s="44">
        <v>10.5</v>
      </c>
      <c r="Y51" s="44">
        <v>8.5</v>
      </c>
      <c r="Z51" s="44">
        <v>3.5</v>
      </c>
      <c r="AA51" s="45">
        <f t="shared" si="48"/>
        <v>0.0520625</v>
      </c>
      <c r="AB51" s="44">
        <v>0.12</v>
      </c>
      <c r="AC51" s="49">
        <v>55</v>
      </c>
      <c r="AD51" s="49">
        <v>15</v>
      </c>
      <c r="AE51" s="44">
        <v>11.4</v>
      </c>
      <c r="AF51" s="48">
        <f t="shared" si="49"/>
        <v>1.52</v>
      </c>
      <c r="AG51" s="45">
        <f t="shared" si="50"/>
        <v>6.6</v>
      </c>
      <c r="AH51" s="45">
        <f t="shared" si="51"/>
        <v>0.88</v>
      </c>
      <c r="AI51" s="45">
        <f t="shared" si="52"/>
        <v>1.8</v>
      </c>
      <c r="AJ51" s="45">
        <f t="shared" si="53"/>
        <v>0.24</v>
      </c>
      <c r="AK51" s="48">
        <f t="shared" si="54"/>
        <v>1.7985</v>
      </c>
      <c r="AL51" s="44">
        <v>3</v>
      </c>
      <c r="AM51" s="45">
        <f t="shared" si="55"/>
        <v>1.99833333333333</v>
      </c>
      <c r="AN51" s="45">
        <v>0</v>
      </c>
      <c r="AO51" s="49"/>
      <c r="AP51" s="49"/>
      <c r="AQ51" s="45">
        <v>0</v>
      </c>
      <c r="AR51" s="51" t="s">
        <v>643</v>
      </c>
      <c r="AS51" s="52" t="s">
        <v>637</v>
      </c>
      <c r="AT51" s="53">
        <v>8306100000</v>
      </c>
      <c r="AU51" s="53" t="s">
        <v>112</v>
      </c>
      <c r="AV51" s="53" t="s">
        <v>638</v>
      </c>
      <c r="AW51" s="54" t="s">
        <v>639</v>
      </c>
    </row>
    <row r="52" s="3" customFormat="1" ht="79" customHeight="1" spans="1:50">
      <c r="A52" s="36">
        <v>49</v>
      </c>
      <c r="B52" s="37">
        <v>46175</v>
      </c>
      <c r="C52" s="38" t="s">
        <v>1097</v>
      </c>
      <c r="D52" s="39">
        <v>2561495</v>
      </c>
      <c r="E52" s="40" t="s">
        <v>555</v>
      </c>
      <c r="F52" s="42"/>
      <c r="G52" s="42"/>
      <c r="H52" s="42"/>
      <c r="I52" s="42"/>
      <c r="J52" s="43" t="s">
        <v>1098</v>
      </c>
      <c r="K52" s="42" t="s">
        <v>1099</v>
      </c>
      <c r="L52" s="43"/>
      <c r="M52" s="44">
        <v>8.99</v>
      </c>
      <c r="N52" s="45">
        <f t="shared" si="42"/>
        <v>2.4865</v>
      </c>
      <c r="O52" s="46">
        <f t="shared" si="43"/>
        <v>18.64875</v>
      </c>
      <c r="P52" s="47">
        <f t="shared" si="44"/>
        <v>0.276585094549499</v>
      </c>
      <c r="Q52" s="45">
        <f t="shared" si="45"/>
        <v>2.77983333333333</v>
      </c>
      <c r="R52" s="48">
        <f t="shared" si="46"/>
        <v>20.84875</v>
      </c>
      <c r="S52" s="47">
        <f t="shared" si="47"/>
        <v>0.309213941416389</v>
      </c>
      <c r="T52" s="49" t="s">
        <v>870</v>
      </c>
      <c r="U52" s="49">
        <v>7.5</v>
      </c>
      <c r="V52" s="50">
        <v>0.2</v>
      </c>
      <c r="W52" s="50">
        <v>0.15</v>
      </c>
      <c r="X52" s="44">
        <v>30</v>
      </c>
      <c r="Y52" s="44">
        <v>22</v>
      </c>
      <c r="Z52" s="44">
        <v>0.5</v>
      </c>
      <c r="AA52" s="45">
        <f t="shared" si="48"/>
        <v>0.055</v>
      </c>
      <c r="AB52" s="44">
        <v>0.05</v>
      </c>
      <c r="AC52" s="49">
        <v>55</v>
      </c>
      <c r="AD52" s="49">
        <v>15</v>
      </c>
      <c r="AE52" s="44">
        <v>10</v>
      </c>
      <c r="AF52" s="48">
        <f t="shared" si="49"/>
        <v>1.33333333333333</v>
      </c>
      <c r="AG52" s="45">
        <f t="shared" si="50"/>
        <v>3.025</v>
      </c>
      <c r="AH52" s="45">
        <f t="shared" si="51"/>
        <v>0.403333333333333</v>
      </c>
      <c r="AI52" s="45">
        <f t="shared" si="52"/>
        <v>0.825</v>
      </c>
      <c r="AJ52" s="45">
        <f t="shared" si="53"/>
        <v>0.11</v>
      </c>
      <c r="AK52" s="48">
        <f t="shared" si="54"/>
        <v>1.3485</v>
      </c>
      <c r="AL52" s="44">
        <v>1.92</v>
      </c>
      <c r="AM52" s="45">
        <f t="shared" si="55"/>
        <v>1.49833333333333</v>
      </c>
      <c r="AN52" s="45">
        <v>0</v>
      </c>
      <c r="AO52" s="49"/>
      <c r="AP52" s="49"/>
      <c r="AQ52" s="45">
        <v>0</v>
      </c>
      <c r="AR52" s="51" t="s">
        <v>1100</v>
      </c>
      <c r="AS52" s="52" t="s">
        <v>1101</v>
      </c>
      <c r="AT52" s="53">
        <v>4202921100</v>
      </c>
      <c r="AU52" s="53" t="s">
        <v>397</v>
      </c>
      <c r="AV52" s="53" t="s">
        <v>1102</v>
      </c>
      <c r="AW52" s="54" t="s">
        <v>399</v>
      </c>
      <c r="AX52" s="3" t="s">
        <v>1103</v>
      </c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3:AX52" etc:filterBottomFollowUsedRange="1">
    <extLst/>
  </autoFilter>
  <mergeCells count="41">
    <mergeCell ref="A1:AW1"/>
    <mergeCell ref="J2:L2"/>
    <mergeCell ref="N2:P2"/>
    <mergeCell ref="Q2:S2"/>
    <mergeCell ref="AE2:AF2"/>
    <mergeCell ref="AG2:AH2"/>
    <mergeCell ref="AI2:AJ2"/>
    <mergeCell ref="AK2:AL2"/>
    <mergeCell ref="AN2:AP2"/>
    <mergeCell ref="A2:A3"/>
    <mergeCell ref="B2:B3"/>
    <mergeCell ref="C2:C3"/>
    <mergeCell ref="D2:D3"/>
    <mergeCell ref="E2:E3"/>
    <mergeCell ref="F2:F3"/>
    <mergeCell ref="G2:G3"/>
    <mergeCell ref="H2:H3"/>
    <mergeCell ref="H38:H40"/>
    <mergeCell ref="H41:H44"/>
    <mergeCell ref="I2:I3"/>
    <mergeCell ref="M2:M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M2:AM3"/>
    <mergeCell ref="AQ2:AQ3"/>
    <mergeCell ref="AR2:AR3"/>
    <mergeCell ref="AS2:AS3"/>
    <mergeCell ref="AT2:AT3"/>
    <mergeCell ref="AU2:AU3"/>
    <mergeCell ref="AV2:AV3"/>
    <mergeCell ref="AW2:AW3"/>
    <mergeCell ref="AX2:AX3"/>
  </mergeCells>
  <conditionalFormatting sqref="P3">
    <cfRule type="cellIs" dxfId="0" priority="361" operator="lessThan">
      <formula>0</formula>
    </cfRule>
  </conditionalFormatting>
  <conditionalFormatting sqref="S3">
    <cfRule type="cellIs" dxfId="0" priority="362" operator="lessThan">
      <formula>0</formula>
    </cfRule>
  </conditionalFormatting>
  <conditionalFormatting sqref="P4">
    <cfRule type="cellIs" dxfId="0" priority="49" operator="lessThan">
      <formula>0</formula>
    </cfRule>
  </conditionalFormatting>
  <conditionalFormatting sqref="S4">
    <cfRule type="cellIs" dxfId="0" priority="50" operator="lessThan">
      <formula>0</formula>
    </cfRule>
  </conditionalFormatting>
  <conditionalFormatting sqref="T4">
    <cfRule type="containsText" dxfId="1" priority="46" operator="between" text="FR">
      <formula>NOT(ISERROR(SEARCH("FR",T4)))</formula>
    </cfRule>
    <cfRule type="containsText" dxfId="2" priority="47" operator="between" text="DE">
      <formula>NOT(ISERROR(SEARCH("DE",T4)))</formula>
    </cfRule>
    <cfRule type="containsText" dxfId="3" priority="48" operator="between" text="UK">
      <formula>NOT(ISERROR(SEARCH("UK",T4)))</formula>
    </cfRule>
  </conditionalFormatting>
  <conditionalFormatting sqref="P5">
    <cfRule type="cellIs" dxfId="0" priority="40" operator="lessThan">
      <formula>0</formula>
    </cfRule>
  </conditionalFormatting>
  <conditionalFormatting sqref="S5">
    <cfRule type="cellIs" dxfId="0" priority="45" operator="lessThan">
      <formula>0</formula>
    </cfRule>
  </conditionalFormatting>
  <conditionalFormatting sqref="T5">
    <cfRule type="containsText" dxfId="1" priority="25" operator="between" text="FR">
      <formula>NOT(ISERROR(SEARCH("FR",T5)))</formula>
    </cfRule>
    <cfRule type="containsText" dxfId="2" priority="30" operator="between" text="DE">
      <formula>NOT(ISERROR(SEARCH("DE",T5)))</formula>
    </cfRule>
    <cfRule type="containsText" dxfId="3" priority="35" operator="between" text="UK">
      <formula>NOT(ISERROR(SEARCH("UK",T5)))</formula>
    </cfRule>
  </conditionalFormatting>
  <conditionalFormatting sqref="P6">
    <cfRule type="cellIs" dxfId="0" priority="37" operator="lessThan">
      <formula>0</formula>
    </cfRule>
  </conditionalFormatting>
  <conditionalFormatting sqref="S6">
    <cfRule type="cellIs" dxfId="0" priority="42" operator="lessThan">
      <formula>0</formula>
    </cfRule>
  </conditionalFormatting>
  <conditionalFormatting sqref="T6">
    <cfRule type="containsText" dxfId="1" priority="22" operator="between" text="FR">
      <formula>NOT(ISERROR(SEARCH("FR",T6)))</formula>
    </cfRule>
    <cfRule type="containsText" dxfId="2" priority="27" operator="between" text="DE">
      <formula>NOT(ISERROR(SEARCH("DE",T6)))</formula>
    </cfRule>
    <cfRule type="containsText" dxfId="3" priority="32" operator="between" text="UK">
      <formula>NOT(ISERROR(SEARCH("UK",T6)))</formula>
    </cfRule>
  </conditionalFormatting>
  <conditionalFormatting sqref="P7">
    <cfRule type="cellIs" dxfId="0" priority="19" operator="lessThan">
      <formula>0</formula>
    </cfRule>
  </conditionalFormatting>
  <conditionalFormatting sqref="S7">
    <cfRule type="cellIs" dxfId="0" priority="20" operator="lessThan">
      <formula>0</formula>
    </cfRule>
  </conditionalFormatting>
  <conditionalFormatting sqref="T7">
    <cfRule type="containsText" dxfId="1" priority="16" operator="between" text="FR">
      <formula>NOT(ISERROR(SEARCH("FR",T7)))</formula>
    </cfRule>
    <cfRule type="containsText" dxfId="2" priority="17" operator="between" text="DE">
      <formula>NOT(ISERROR(SEARCH("DE",T7)))</formula>
    </cfRule>
    <cfRule type="containsText" dxfId="3" priority="18" operator="between" text="UK">
      <formula>NOT(ISERROR(SEARCH("UK",T7)))</formula>
    </cfRule>
  </conditionalFormatting>
  <conditionalFormatting sqref="P8">
    <cfRule type="cellIs" dxfId="0" priority="39" operator="lessThan">
      <formula>0</formula>
    </cfRule>
  </conditionalFormatting>
  <conditionalFormatting sqref="S8">
    <cfRule type="cellIs" dxfId="0" priority="44" operator="lessThan">
      <formula>0</formula>
    </cfRule>
  </conditionalFormatting>
  <conditionalFormatting sqref="T8">
    <cfRule type="containsText" dxfId="1" priority="24" operator="between" text="FR">
      <formula>NOT(ISERROR(SEARCH("FR",T8)))</formula>
    </cfRule>
    <cfRule type="containsText" dxfId="2" priority="29" operator="between" text="DE">
      <formula>NOT(ISERROR(SEARCH("DE",T8)))</formula>
    </cfRule>
    <cfRule type="containsText" dxfId="3" priority="34" operator="between" text="UK">
      <formula>NOT(ISERROR(SEARCH("UK",T8)))</formula>
    </cfRule>
  </conditionalFormatting>
  <conditionalFormatting sqref="P9">
    <cfRule type="cellIs" dxfId="0" priority="38" operator="lessThan">
      <formula>0</formula>
    </cfRule>
  </conditionalFormatting>
  <conditionalFormatting sqref="S9">
    <cfRule type="cellIs" dxfId="0" priority="43" operator="lessThan">
      <formula>0</formula>
    </cfRule>
  </conditionalFormatting>
  <conditionalFormatting sqref="T9">
    <cfRule type="containsText" dxfId="1" priority="23" operator="between" text="FR">
      <formula>NOT(ISERROR(SEARCH("FR",T9)))</formula>
    </cfRule>
    <cfRule type="containsText" dxfId="2" priority="28" operator="between" text="DE">
      <formula>NOT(ISERROR(SEARCH("DE",T9)))</formula>
    </cfRule>
    <cfRule type="containsText" dxfId="3" priority="33" operator="between" text="UK">
      <formula>NOT(ISERROR(SEARCH("UK",T9)))</formula>
    </cfRule>
  </conditionalFormatting>
  <conditionalFormatting sqref="P10">
    <cfRule type="cellIs" dxfId="0" priority="36" operator="lessThan">
      <formula>0</formula>
    </cfRule>
  </conditionalFormatting>
  <conditionalFormatting sqref="S10">
    <cfRule type="cellIs" dxfId="0" priority="41" operator="lessThan">
      <formula>0</formula>
    </cfRule>
  </conditionalFormatting>
  <conditionalFormatting sqref="T10">
    <cfRule type="containsText" dxfId="1" priority="21" operator="between" text="FR">
      <formula>NOT(ISERROR(SEARCH("FR",T10)))</formula>
    </cfRule>
    <cfRule type="containsText" dxfId="2" priority="26" operator="between" text="DE">
      <formula>NOT(ISERROR(SEARCH("DE",T10)))</formula>
    </cfRule>
    <cfRule type="containsText" dxfId="3" priority="31" operator="between" text="UK">
      <formula>NOT(ISERROR(SEARCH("UK",T10)))</formula>
    </cfRule>
  </conditionalFormatting>
  <conditionalFormatting sqref="P11">
    <cfRule type="cellIs" dxfId="0" priority="9" operator="lessThan">
      <formula>0</formula>
    </cfRule>
  </conditionalFormatting>
  <conditionalFormatting sqref="S11">
    <cfRule type="cellIs" dxfId="0" priority="10" operator="lessThan">
      <formula>0</formula>
    </cfRule>
  </conditionalFormatting>
  <conditionalFormatting sqref="T11">
    <cfRule type="containsText" dxfId="1" priority="6" operator="between" text="FR">
      <formula>NOT(ISERROR(SEARCH("FR",T11)))</formula>
    </cfRule>
    <cfRule type="containsText" dxfId="2" priority="7" operator="between" text="DE">
      <formula>NOT(ISERROR(SEARCH("DE",T11)))</formula>
    </cfRule>
    <cfRule type="containsText" dxfId="3" priority="8" operator="between" text="UK">
      <formula>NOT(ISERROR(SEARCH("UK",T11)))</formula>
    </cfRule>
  </conditionalFormatting>
  <conditionalFormatting sqref="P12">
    <cfRule type="cellIs" dxfId="0" priority="4" operator="lessThan">
      <formula>0</formula>
    </cfRule>
  </conditionalFormatting>
  <conditionalFormatting sqref="S12">
    <cfRule type="cellIs" dxfId="0" priority="5" operator="lessThan">
      <formula>0</formula>
    </cfRule>
  </conditionalFormatting>
  <conditionalFormatting sqref="T12">
    <cfRule type="containsText" dxfId="1" priority="1" operator="between" text="FR">
      <formula>NOT(ISERROR(SEARCH("FR",T12)))</formula>
    </cfRule>
    <cfRule type="containsText" dxfId="2" priority="2" operator="between" text="DE">
      <formula>NOT(ISERROR(SEARCH("DE",T12)))</formula>
    </cfRule>
    <cfRule type="containsText" dxfId="3" priority="3" operator="between" text="UK">
      <formula>NOT(ISERROR(SEARCH("UK",T12)))</formula>
    </cfRule>
  </conditionalFormatting>
  <conditionalFormatting sqref="P13">
    <cfRule type="cellIs" dxfId="0" priority="14" operator="lessThan">
      <formula>0</formula>
    </cfRule>
  </conditionalFormatting>
  <conditionalFormatting sqref="S13">
    <cfRule type="cellIs" dxfId="0" priority="15" operator="lessThan">
      <formula>0</formula>
    </cfRule>
  </conditionalFormatting>
  <conditionalFormatting sqref="T13">
    <cfRule type="containsText" dxfId="1" priority="11" operator="between" text="FR">
      <formula>NOT(ISERROR(SEARCH("FR",T13)))</formula>
    </cfRule>
    <cfRule type="containsText" dxfId="2" priority="12" operator="between" text="DE">
      <formula>NOT(ISERROR(SEARCH("DE",T13)))</formula>
    </cfRule>
    <cfRule type="containsText" dxfId="3" priority="13" operator="between" text="UK">
      <formula>NOT(ISERROR(SEARCH("UK",T13)))</formula>
    </cfRule>
  </conditionalFormatting>
  <hyperlinks>
    <hyperlink ref="AR4" r:id="rId1" display="https://detail.1688.com/offer/960458601653.html"/>
    <hyperlink ref="J4" r:id="rId2" display="https://www.amazon.de/dp/B0GR93KYK5"/>
    <hyperlink ref="L4" r:id="rId3" display="https://www.amazon.de/shopthelook?q=https%3A%2F%2Fm.media-amazon.com%2Fimages%2FI%2F618Gwvk0qcL._ACPIbundle-2%2CTopRight%2C0%2C0_SH20_.jpg"/>
    <hyperlink ref="AR5" r:id="rId4" display="https://detail.1688.com/offer/971764513990.html?_t=1764220962551&amp;spm"/>
    <hyperlink ref="AR8" r:id="rId5" display="https://detail.1688.com/offer/925692413717.html"/>
    <hyperlink ref="AR9" r:id="rId4" display="https://detail.1688.com/offer/971764513990.html?_t=1764220962551&amp;spm"/>
    <hyperlink ref="AR6" r:id="rId6" display="https://detail.1688.com/offer/895790509087.html?_t=1765423106932&amp;spm"/>
    <hyperlink ref="AR10" r:id="rId4" display="https://detail.1688.com/offer/971764513990.html?_t=1764220962551&amp;spm"/>
    <hyperlink ref="J5" r:id="rId7" display="https://www.amazon.co.uk/stylesnap?q=https%3A%2F%2Fm.media-amazon.com%2Fimages%2FI%2F817clLUHR-L.jpg"/>
    <hyperlink ref="J6" r:id="rId7" display="https://www.amazon.co.uk/stylesnap?q=https%3A%2F%2Fm.media-amazon.com%2Fimages%2FI%2F817clLUHR-L.jpg"/>
    <hyperlink ref="AR7" r:id="rId4" display="https://detail.1688.com/offer/971764513990.html?_t=1764220962551&amp;spm"/>
    <hyperlink ref="J7" r:id="rId8" display="https://www.amazon.de/-/en/Catcher-Decoration-Housewarming-Birthday-Monstera/dp/B0GHQ5PS9V"/>
    <hyperlink ref="K8" r:id="rId9" display="https://www.amazon.co.uk/dp/B0G8YM36C6"/>
    <hyperlink ref="K9" r:id="rId10" display="https://www.amazon.co.uk/dp/B0G8YQHMZD"/>
    <hyperlink ref="K10" r:id="rId11" display="https://www.amazon.co.uk/dp/B0GHD4CYRG"/>
    <hyperlink ref="J9" r:id="rId12" display="https://www.amazon.de/shopthelook?q=https%3A%2F%2Fm.media-amazon.com%2Fimages%2FI%2F71TKs9DNGKL._AC.jpg"/>
    <hyperlink ref="L9" r:id="rId13" display="https://www.amazon.de/dp/B0FW562139/ref=mweb_up_am_fl_st_na_un_up_sm_web?th=1"/>
    <hyperlink ref="J8" r:id="rId14" display="https://www.amazon.de/dp/B0GDXXFN17/ref=mweb_up_am_fl_st_na_un_up_sm_web?th=1"/>
    <hyperlink ref="J10" r:id="rId15" display="https://www.amazon.de/shopthelook?q=https%3A%2F%2Fm.media-amazon.com%2Fimages%2FI%2F811diLETRBL._AC.jpg"/>
    <hyperlink ref="L8" r:id="rId16" display="https://www.amazon.de/dp/B0GGGY189B/ref=mweb_up_am_fl_st_na_un_up_sm_web?th=1"/>
    <hyperlink ref="AR13" r:id="rId4" display="https://detail.1688.com/offer/971764513990.html?_t=1764220962551&amp;spm"/>
    <hyperlink ref="L13" r:id="rId17" display="https://www.amazon.de/shopthelook?q=https%3A%2F%2Fm.media-amazon.com%2Fimages%2FI%2F816MhTzrO4L._SL400_.jpg"/>
    <hyperlink ref="J13" r:id="rId15" display="https://www.amazon.de/shopthelook?q=https%3A%2F%2Fm.media-amazon.com%2Fimages%2FI%2F811diLETRBL._AC.jpg"/>
    <hyperlink ref="AR11" r:id="rId4" display="https://detail.1688.com/offer/971764513990.html?_t=1764220962551&amp;spm"/>
    <hyperlink ref="J11" r:id="rId18" display="https://www.amazon.de/-/en/Suncatcher-Stained-Acrylic-Decoration-Christian/dp/B0GTTN4CVY"/>
    <hyperlink ref="L11" r:id="rId19" display="https://www.amazon.de/stylesnap?q=https%3A%2F%2Fm.media-amazon.com%2Fimages%2FI%2F81nMcpcvmZL.jpg"/>
    <hyperlink ref="J12" r:id="rId20" display="https://www.amazon.co.uk/dp/B0FGXJLH2S"/>
    <hyperlink ref="L12" r:id="rId21" display="https://www.amazon.co.uk/dp/B0FCSM7Q6M/ref=mweb_up_am_fl_st_na_un_up_sm_web"/>
    <hyperlink ref="K12" r:id="rId22" display="https://www.amazon.de/shopthelook?q=https%3A%2F%2Fm.media-amazon.com%2Fimages%2FI%2F51l537PBoWL._AC.jpg"/>
    <hyperlink ref="L5" r:id="rId23" display="https://www.amazon.de/shopthelook?q=https%3A%2F%2Fm.media-amazon.com%2Fimages%2FI%2F817clLUHR-L._SL400_.jpg"/>
    <hyperlink ref="L6" r:id="rId23" display="https://www.amazon.de/shopthelook?q=https%3A%2F%2Fm.media-amazon.com%2Fimages%2FI%2F817clLUHR-L._SL400_.jpg"/>
    <hyperlink ref="L7" r:id="rId24" display="https://www.amazon.de/stylesnap?q=https%3A%2F%2Fm.media-amazon.com%2Fimages%2FI%2F816PBCIwN6L.jpg"/>
    <hyperlink ref="J16" r:id="rId25" display="https://www.amazon.de/dp/B0GCLXHQB9" tooltip="https://www.amazon.de/dp/B0GCLXHQB9"/>
    <hyperlink ref="K16" r:id="rId26" display="https://www.amazon.de/dp/B0F93QBQR2/ref=mweb_up_am_fl_st_na_un_up_sm_web?th=1" tooltip="https://www.amazon.de/dp/B0F93QBQR2/ref=mweb_up_am_fl_st_na_un_up_sm_web?th=1"/>
    <hyperlink ref="L16" r:id="rId27" display="https://www.amazon.de/stylesnap?q=https%3A%2F%2Fm.media-amazon.com%2Fimages%2FI%2F71Y0YcMIVHL.jpg" tooltip="https://www.amazon.de/stylesnap?q=https%3A%2F%2Fm.media-amazon.com%2Fimages%2FI%2F71Y0YcMIVHL.jpg"/>
    <hyperlink ref="AR16" r:id="rId28" display="https://detail.1688.com/offer/1053814113913.html?spm" tooltip="https://detail.1688.com/offer/1053814113913.html?spm"/>
    <hyperlink ref="J15" r:id="rId29" display="https://www.amazon.co.uk/dp/B0GWQ6DKGS" tooltip="https://www.amazon.co.uk/dp/B0GWQ6DKGS"/>
    <hyperlink ref="J14" r:id="rId30" display="https://www.amazon.de/dp/B0FPLG6PXZ" tooltip="https://www.amazon.de/dp/B0FPLG6PXZ"/>
    <hyperlink ref="K14" r:id="rId31" display="https://www.amazon.co.uk/dp/B0GTYYKJHQ" tooltip="https://www.amazon.co.uk/dp/B0GTYYKJHQ"/>
    <hyperlink ref="K15" r:id="rId32" display="https://www.amazon.de/dp/B0GZYW5SNX" tooltip="https://www.amazon.de/dp/B0GZYW5SNX"/>
    <hyperlink ref="J17" r:id="rId33" display="https://www.amazon.de/dp/B0GVRSFTDG" tooltip="https://www.amazon.de/dp/B0GVRSFTDG"/>
    <hyperlink ref="K17" r:id="rId34" display="https://www.amazon.de/dp/B0GHLJMLMW" tooltip="https://www.amazon.de/dp/B0GHLJMLMW"/>
    <hyperlink ref="L17" r:id="rId35" display="https://www.amazon.de/shopthelook?q=https%3A%2F%2Fm.media-amazon.com%2Fimages%2FI%2F81G4gt9x2AL._AC_SL1500_.jpg" tooltip="https://www.amazon.de/shopthelook?q=https%3A%2F%2Fm.media-amazon.com%2Fimages%2FI%2F81G4gt9x2AL._AC_SL1500_.jpg"/>
    <hyperlink ref="L15" r:id="rId35" display="https://www.amazon.de/shopthelook?q=https%3A%2F%2Fm.media-amazon.com%2Fimages%2FI%2F81G4gt9x2AL._AC_SL1500_.jpg" tooltip="https://www.amazon.de/shopthelook?q=https%3A%2F%2Fm.media-amazon.com%2Fimages%2FI%2F81G4gt9x2AL._AC_SL1500_.jpg"/>
    <hyperlink ref="AR17" r:id="rId36" display="https://detail.1688.com/offer/1005077700096.html?spm" tooltip="https://detail.1688.com/offer/1005077700096.html?spm"/>
    <hyperlink ref="AR15" r:id="rId37" display="https://detail.1688.com/offer/1019466895324.html?offerId=1019466895324&amp;hotSaleSkuId=6196800603920&amp;spm" tooltip="https://detail.1688.com/offer/1019466895324.html?offerId=1019466895324&amp;hotSaleSkuId=6196800603920&amp;spm"/>
    <hyperlink ref="AR18" r:id="rId38" display="https://detail.1688.com/offer/794146130402.html" tooltip="https://detail.1688.com/offer/794146130402.html"/>
    <hyperlink ref="J22" r:id="rId39" display="https://www.amazon.de/dp/B0GRSWDVC8/ref=mweb_up_am_fl_st_na_un_up_sm_web" tooltip="https://www.amazon.de/dp/B0GRSWDVC8/ref=mweb_up_am_fl_st_na_un_up_sm_web"/>
    <hyperlink ref="K22" r:id="rId40" display="https://www.amazon.de/dp/B0GVN56R7B/ref=mweb_up_am_fl_st_na_un_up_sm_web" tooltip="https://www.amazon.de/dp/B0GVN56R7B/ref=mweb_up_am_fl_st_na_un_up_sm_web"/>
    <hyperlink ref="L22" r:id="rId41" display="https://www.amazon.de/stylesnap?q=https%3A%2F%2Fm.media-amazon.com%2Fimages%2FI%2F61KpplbbRAL.jpg" tooltip="https://www.amazon.de/stylesnap?q=https://m.media-amazon.com/images/I/61KpplbbRAL.jpg"/>
    <hyperlink ref="AR29" r:id="rId42" display="https://detail.1688.com/offer/1049736361929.html?spm=a26352.b28411319/2508.0.0" tooltip="https://detail.1688.com/offer/1049736361929.html?spm=a26352.b28411319/2508.0.0"/>
    <hyperlink ref="AR30" r:id="rId42" display="https://detail.1688.com/offer/1049736361929.html?spm=a26352.b28411319/2508.0.0" tooltip="https://detail.1688.com/offer/1049736361929.html?spm=a26352.b28411319/2508.0.0"/>
    <hyperlink ref="AR31" r:id="rId42" display="https://detail.1688.com/offer/1049736361929.html?spm=a26352.b28411319/2508.0.0" tooltip="https://detail.1688.com/offer/1049736361929.html?spm=a26352.b28411319/2508.0.0"/>
    <hyperlink ref="K21" r:id="rId43" display="https://www.amazon.de/stylesnap?q=https%3A%2F%2Fm.media-amazon.com%2Fimages%2FI%2F61OgogJEyHL.jpg" tooltip="https://www.amazon.de/stylesnap?q=https%3A%2F%2Fm.media-amazon.com%2Fimages%2FI%2F61OgogJEyHL.jpg"/>
    <hyperlink ref="J35" r:id="rId44" display="https://www.amazon.de/dp/B0GQ3148TQ" tooltip="https://www.amazon.de/dp/B0GQ3148TQ"/>
    <hyperlink ref="L35" r:id="rId45" display="https://www.amazon.de/shopthelook?q=https%3A%2F%2Fm.media-amazon.com%2Fimages%2FI%2F81idmAEC0rL._AC.jpg" tooltip="https://www.amazon.de/shopthelook?q=https%3A%2F%2Fm.media-amazon.com%2Fimages%2FI%2F81idmAEC0rL._AC.jpg"/>
    <hyperlink ref="L34" r:id="rId45" display="https://www.amazon.de/shopthelook?q=https%3A%2F%2Fm.media-amazon.com%2Fimages%2FI%2F81idmAEC0rL._AC.jpg" tooltip="https://www.amazon.de/shopthelook?q=https%3A%2F%2Fm.media-amazon.com%2Fimages%2FI%2F81idmAEC0rL._AC.jpg"/>
    <hyperlink ref="J34" r:id="rId44" display="https://www.amazon.de/dp/B0GQ3148TQ" tooltip="https://www.amazon.de/dp/B0GQ3148TQ"/>
    <hyperlink ref="AR35" r:id="rId46" display="https://detail.1688.com/offer/832689536027.html?spm" tooltip="https://detail.1688.com/offer/832689536027.html?spm"/>
    <hyperlink ref="AR34" r:id="rId46" display="https://detail.1688.com/offer/832689536027.html?spm" tooltip="https://detail.1688.com/offer/832689536027.html?spm"/>
    <hyperlink ref="J36" r:id="rId47" display="https://www.amazon.de/dp/B0GWQ3WNH4/ref" tooltip="https://www.amazon.de/dp/B0GWQ3WNH4/ref"/>
    <hyperlink ref="K36" r:id="rId48" display="https://www.amazon.de/dp/B0GSYGP66X/ref" tooltip="https://www.amazon.de/dp/B0GSYGP66X/ref"/>
    <hyperlink ref="L36" r:id="rId49" display="https://www.amazon.de/shopthelook?q=https%3A%2F%2Fm.media-amazon.com%2Fimages%2FI%2F61VmWMvCMtL._ACSX300_QL70_ML2_.jpg" tooltip="https://www.amazon.de/shopthelook?q=https%3A%2F%2Fm.media-amazon.com%2Fimages%2FI%2F61VmWMvCMtL._ACSX300_QL70_ML2_.jpg"/>
    <hyperlink ref="AR36" r:id="rId50" display="https://detail.1688.com/offer/1040475039783.html?spm" tooltip="https://detail.1688.com/offer/1040475039783.html?spm"/>
    <hyperlink ref="J37" r:id="rId51" display="https://www.amazon.de/dp/B0GY3RCR8N" tooltip="https://www.amazon.de/dp/B0GY3RCR8N"/>
    <hyperlink ref="AR37" r:id="rId52" display="https://detail.1688.com/offer/1052832871120.html?spm=a28888.success.0.0.63a17e926u1OPm" tooltip="https://detail.1688.com/offer/1052832871120.html?spm=a28888.success.0.0.63a17e926u1OPm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��YO_l�q _KYKYhT�l�NNgIgNgIgYO_l�qU�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D5662047-3127-477A-AC3A-1D340467FB41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customXml/itemProps3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WWO_feishu_20241028185521-3ecd29d096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英国</vt:lpstr>
      <vt:lpstr>德国</vt:lpstr>
      <vt:lpstr>WpsReserved_CellImgList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刘淼</cp:lastModifiedBy>
  <dcterms:created xsi:type="dcterms:W3CDTF">2025-12-25T08:53:00Z</dcterms:created>
  <dcterms:modified xsi:type="dcterms:W3CDTF">2026-06-03T03:30:31Z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1EC80AAB438246FC82F91716D479EF5F_11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