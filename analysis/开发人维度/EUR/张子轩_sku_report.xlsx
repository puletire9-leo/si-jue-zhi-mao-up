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5月" sheetId="2" state="visible" r:id="rId2"/>
    <sheet xmlns:r="http://schemas.openxmlformats.org/officeDocument/2006/relationships" name="26年06月" sheetId="3" state="visible" r:id="rId3"/>
    <sheet xmlns:r="http://schemas.openxmlformats.org/officeDocument/2006/relationships" name="口径说明" sheetId="4" state="visible" r:id="rId4"/>
  </sheets>
  <definedNames>
    <definedName name="_xlnm._FilterDatabase" localSheetId="0" hidden="1">'汇总'!$A$2:$T$4</definedName>
    <definedName name="_xlnm._FilterDatabase" localSheetId="1" hidden="1">'26年05月'!$A$2:$I$4</definedName>
    <definedName name="_xlnm._FilterDatabase" localSheetId="2" hidden="1">'26年06月'!$A$2:$I$9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张子轩 EUR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2026-05</t>
        </is>
      </c>
      <c r="B3" t="n">
        <v>2</v>
      </c>
      <c r="C3" t="n">
        <v>6</v>
      </c>
      <c r="D3" s="3" t="n">
        <v>80.22</v>
      </c>
      <c r="E3" s="3" t="n">
        <v>-24.83</v>
      </c>
      <c r="F3" s="3" t="n">
        <v>54.58</v>
      </c>
      <c r="G3" s="4" t="n">
        <v>-0.454928545254672</v>
      </c>
      <c r="H3" t="n">
        <v>26</v>
      </c>
      <c r="I3" s="4" t="n">
        <v>1</v>
      </c>
      <c r="J3" t="n">
        <v>6</v>
      </c>
      <c r="K3" s="3" t="n">
        <v>80.22</v>
      </c>
      <c r="L3" t="n">
        <v>2</v>
      </c>
      <c r="M3" t="n">
        <v>-24.83</v>
      </c>
      <c r="N3" s="4" t="n">
        <v>-0.454928545254672</v>
      </c>
      <c r="O3" t="n">
        <v>0</v>
      </c>
      <c r="P3" s="3" t="n">
        <v>0</v>
      </c>
      <c r="Q3" t="n">
        <v>0</v>
      </c>
      <c r="R3" s="4" t="n">
        <v>0</v>
      </c>
      <c r="S3" t="n">
        <v>0</v>
      </c>
      <c r="T3" s="4" t="n"/>
    </row>
    <row r="4">
      <c r="A4" t="inlineStr">
        <is>
          <t>2026-06</t>
        </is>
      </c>
      <c r="B4" t="n">
        <v>7</v>
      </c>
      <c r="C4" t="n">
        <v>20</v>
      </c>
      <c r="D4" s="3" t="n">
        <v>162.68</v>
      </c>
      <c r="E4" s="3" t="n">
        <v>-16.52</v>
      </c>
      <c r="F4" s="3" t="n">
        <v>0</v>
      </c>
      <c r="G4" s="4" t="n"/>
      <c r="H4" t="n">
        <v>78</v>
      </c>
      <c r="I4" s="4" t="n">
        <v>0.8571428571428571</v>
      </c>
      <c r="J4" t="n">
        <v>12</v>
      </c>
      <c r="K4" s="3" t="n">
        <v>99.23999999999999</v>
      </c>
      <c r="L4" t="n">
        <v>6</v>
      </c>
      <c r="M4" t="n">
        <v>-15.77</v>
      </c>
      <c r="N4" s="4" t="n"/>
      <c r="O4" t="n">
        <v>8</v>
      </c>
      <c r="P4" s="3" t="n">
        <v>63.44</v>
      </c>
      <c r="Q4" t="n">
        <v>1</v>
      </c>
      <c r="R4" s="4" t="n">
        <v>0.1428571428571428</v>
      </c>
      <c r="S4" t="n">
        <v>-0.75</v>
      </c>
      <c r="T4" s="4" t="n"/>
    </row>
  </sheetData>
  <autoFilter ref="A2:T4"/>
  <mergeCells count="1">
    <mergeCell ref="A1:T1"/>
  </mergeCells>
  <conditionalFormatting sqref="E3:E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2640087</t>
        </is>
      </c>
      <c r="B3" t="inlineStr">
        <is>
          <t>2026-05</t>
        </is>
      </c>
      <c r="C3" t="inlineStr">
        <is>
          <t>AM-Tyulian-DE | AM-Yangbo-UK</t>
        </is>
      </c>
      <c r="D3" t="n">
        <v>5</v>
      </c>
      <c r="E3" s="3" t="n">
        <v>71.23</v>
      </c>
      <c r="F3" s="3" t="n">
        <v>47.03</v>
      </c>
      <c r="G3" s="3" t="n">
        <v>-18.47</v>
      </c>
      <c r="H3" t="n">
        <v>12</v>
      </c>
      <c r="I3" t="inlineStr">
        <is>
          <t>上架在售</t>
        </is>
      </c>
    </row>
    <row r="4">
      <c r="A4" t="inlineStr">
        <is>
          <t>2640106</t>
        </is>
      </c>
      <c r="B4" t="inlineStr">
        <is>
          <t>2026-05</t>
        </is>
      </c>
      <c r="C4" t="inlineStr">
        <is>
          <t>AM-Tyulian-DE | AM-Yujinbing-UK</t>
        </is>
      </c>
      <c r="D4" t="n">
        <v>1</v>
      </c>
      <c r="E4" s="3" t="n">
        <v>8.99</v>
      </c>
      <c r="F4" s="3" t="n">
        <v>7.55</v>
      </c>
      <c r="G4" s="3" t="n">
        <v>-6.36</v>
      </c>
      <c r="H4" t="n">
        <v>14</v>
      </c>
      <c r="I4" t="inlineStr">
        <is>
          <t>上架在售</t>
        </is>
      </c>
    </row>
  </sheetData>
  <autoFilter ref="A2:I4"/>
  <mergeCells count="1">
    <mergeCell ref="A1:I1"/>
  </mergeCells>
  <conditionalFormatting sqref="G3:G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2640131</t>
        </is>
      </c>
      <c r="B3" t="inlineStr">
        <is>
          <t>2026-06</t>
        </is>
      </c>
      <c r="C3" t="inlineStr">
        <is>
          <t>AM-Tyulian-DE | AM-Yulu-UK</t>
        </is>
      </c>
      <c r="D3" t="n">
        <v>9</v>
      </c>
      <c r="E3" s="3" t="n">
        <v>62.27</v>
      </c>
      <c r="F3" s="3" t="n">
        <v>0</v>
      </c>
      <c r="G3" s="3" t="n">
        <v>-15.46</v>
      </c>
      <c r="H3" t="n">
        <v>3</v>
      </c>
      <c r="I3" t="inlineStr">
        <is>
          <t>上架在售</t>
        </is>
      </c>
    </row>
    <row r="4">
      <c r="A4" t="inlineStr">
        <is>
          <t>2640158</t>
        </is>
      </c>
      <c r="B4" t="inlineStr">
        <is>
          <t>2026-06</t>
        </is>
      </c>
      <c r="C4" t="inlineStr">
        <is>
          <t>AM-Tyulian-DE</t>
        </is>
      </c>
      <c r="D4" t="n">
        <v>2</v>
      </c>
      <c r="E4" s="3" t="n">
        <v>27.98</v>
      </c>
      <c r="F4" s="3" t="n">
        <v>0</v>
      </c>
      <c r="G4" s="3" t="n">
        <v>-0.31</v>
      </c>
      <c r="H4" t="n">
        <v>14</v>
      </c>
      <c r="I4" t="inlineStr">
        <is>
          <t>上架在售</t>
        </is>
      </c>
    </row>
    <row r="5">
      <c r="A5" t="inlineStr">
        <is>
          <t>2640214</t>
        </is>
      </c>
      <c r="B5" t="inlineStr">
        <is>
          <t>2026-06</t>
        </is>
      </c>
      <c r="C5" t="inlineStr">
        <is>
          <t>AM-Tyulian-DE</t>
        </is>
      </c>
      <c r="D5" t="n">
        <v>8</v>
      </c>
      <c r="E5" s="3" t="n">
        <v>63.44</v>
      </c>
      <c r="F5" s="3" t="n">
        <v>0</v>
      </c>
      <c r="G5" s="3" t="n">
        <v>-0.75</v>
      </c>
      <c r="H5" t="n">
        <v>11</v>
      </c>
      <c r="I5" t="inlineStr">
        <is>
          <t>淘汰</t>
        </is>
      </c>
    </row>
    <row r="6">
      <c r="A6" t="inlineStr">
        <is>
          <t>2640222</t>
        </is>
      </c>
      <c r="B6" t="inlineStr">
        <is>
          <t>2026-06</t>
        </is>
      </c>
      <c r="C6" t="inlineStr">
        <is>
          <t>AM-Tyulian-DE | AM-Yujinbing-UK</t>
        </is>
      </c>
      <c r="D6" t="n">
        <v>0</v>
      </c>
      <c r="E6" s="3" t="n">
        <v>0</v>
      </c>
      <c r="F6" s="3" t="n">
        <v>0</v>
      </c>
      <c r="G6" s="3" t="n">
        <v>0</v>
      </c>
      <c r="H6" t="n">
        <v>11</v>
      </c>
      <c r="I6" t="inlineStr">
        <is>
          <t>上架在售</t>
        </is>
      </c>
    </row>
    <row r="7">
      <c r="A7" t="inlineStr">
        <is>
          <t>2640224</t>
        </is>
      </c>
      <c r="B7" t="inlineStr">
        <is>
          <t>2026-06</t>
        </is>
      </c>
      <c r="C7" t="inlineStr">
        <is>
          <t>AM-Tyulian-DE</t>
        </is>
      </c>
      <c r="D7" t="n">
        <v>0</v>
      </c>
      <c r="E7" s="3" t="n">
        <v>0</v>
      </c>
      <c r="F7" s="3" t="n">
        <v>0</v>
      </c>
      <c r="G7" s="3" t="n">
        <v>0</v>
      </c>
      <c r="H7" t="n">
        <v>10</v>
      </c>
      <c r="I7" t="inlineStr">
        <is>
          <t>上架在售</t>
        </is>
      </c>
    </row>
    <row r="8">
      <c r="A8" t="inlineStr">
        <is>
          <t>2640232</t>
        </is>
      </c>
      <c r="B8" t="inlineStr">
        <is>
          <t>2026-06</t>
        </is>
      </c>
      <c r="C8" t="inlineStr">
        <is>
          <t>AM-Tyulian-DE</t>
        </is>
      </c>
      <c r="D8" t="n">
        <v>1</v>
      </c>
      <c r="E8" s="3" t="n">
        <v>8.99</v>
      </c>
      <c r="F8" s="3" t="n">
        <v>0</v>
      </c>
      <c r="G8" s="3" t="n">
        <v>0</v>
      </c>
      <c r="H8" t="n">
        <v>14</v>
      </c>
      <c r="I8" t="inlineStr">
        <is>
          <t>上架在售</t>
        </is>
      </c>
    </row>
    <row r="9">
      <c r="A9" t="inlineStr">
        <is>
          <t>2640245</t>
        </is>
      </c>
      <c r="B9" t="inlineStr">
        <is>
          <t>2026-06</t>
        </is>
      </c>
      <c r="C9" t="inlineStr">
        <is>
          <t>AM-Liuhu-UK | AM-Tyulian-DE</t>
        </is>
      </c>
      <c r="D9" t="n">
        <v>0</v>
      </c>
      <c r="E9" s="3" t="n">
        <v>0</v>
      </c>
      <c r="F9" s="3" t="n">
        <v>0</v>
      </c>
      <c r="G9" s="3" t="n">
        <v>0</v>
      </c>
      <c r="H9" t="n">
        <v>15</v>
      </c>
      <c r="I9" t="inlineStr">
        <is>
          <t>上架在售</t>
        </is>
      </c>
    </row>
  </sheetData>
  <autoFilter ref="A2:I9"/>
  <mergeCells count="1">
    <mergeCell ref="A1:I1"/>
  </mergeCells>
  <conditionalFormatting sqref="G3:G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9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